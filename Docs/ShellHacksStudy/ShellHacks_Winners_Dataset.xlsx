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6e733d512814f07" /></Relationships>
</file>

<file path=xl/workbook.xml><?xml version="1.0" encoding="utf-8"?>
<x:workbook xmlns:x="http://schemas.openxmlformats.org/spreadsheetml/2006/main">
  <x:sheets>
    <x:sheet xmlns:r="http://schemas.openxmlformats.org/officeDocument/2006/relationships" name="Summary" sheetId="1" r:id="Redeacbec47604e35"/>
    <x:sheet xmlns:r="http://schemas.openxmlformats.org/officeDocument/2006/relationships" name="Projects" sheetId="2" r:id="R8c845cfc93584f65"/>
    <x:sheet xmlns:r="http://schemas.openxmlformats.org/officeDocument/2006/relationships" name="Editions" sheetId="3" r:id="R0920275b737444d9"/>
    <x:sheet xmlns:r="http://schemas.openxmlformats.org/officeDocument/2006/relationships" name="Readme" sheetId="4" r:id="R86766b73d06d4ba9"/>
  </x:sheets>
</x:workbook>
</file>

<file path=xl/sharedStrings.xml><?xml version="1.0" encoding="utf-8"?>
<x:sst xmlns:x="http://schemas.openxmlformats.org/spreadsheetml/2006/main"/>
</file>

<file path=xl/styles.xml><?xml version="1.0" encoding="utf-8"?>
<x:styleSheet xmlns:x="http://schemas.openxmlformats.org/spreadsheetml/2006/main">
  <x:numFmts count="5">
    <x:numFmt numFmtId="200" formatCode="0"/>
    <x:numFmt numFmtId="201" formatCode="yyyy-mm-dd"/>
    <x:numFmt numFmtId="202" formatCode="#,##0"/>
    <x:numFmt numFmtId="203" formatCode="&quot;$&quot;#,##0"/>
    <x:numFmt numFmtId="204" formatCode="0.0%"/>
  </x:numFmts>
  <x:fonts count="7">
    <x:font>
      <x:sz val="11"/>
      <x:name val="Carlito"/>
    </x:font>
    <x:font>
      <x:sz val="10"/>
      <x:color rgb="FF202C3B"/>
      <x:name val="Arial"/>
    </x:font>
    <x:font>
      <x:b/>
      <x:sz val="10"/>
      <x:color rgb="FFFFFFFF"/>
      <x:name val="Arial"/>
    </x:font>
    <x:font>
      <x:sz val="10"/>
      <x:color rgb="FF385F88"/>
      <x:name val="Arial"/>
    </x:font>
    <x:font>
      <x:b/>
      <x:sz val="16"/>
      <x:color rgb="FF172E4D"/>
      <x:name val="Arial"/>
    </x:font>
    <x:font>
      <x:i/>
      <x:sz val="10"/>
      <x:color rgb="FF5B6472"/>
      <x:name val="Arial"/>
    </x:font>
    <x:font>
      <x:b/>
      <x:sz val="10"/>
      <x:color rgb="FF172E4D"/>
      <x:name val="Arial"/>
    </x:font>
  </x:fonts>
  <x:fills count="4">
    <x:fill>
      <x:patternFill patternType="none"/>
    </x:fill>
    <x:fill>
      <x:patternFill patternType="gray125"/>
    </x:fill>
    <x:fill>
      <x:patternFill patternType="solid">
        <x:fgColor rgb="FF172E4D"/>
      </x:patternFill>
    </x:fill>
    <x:fill>
      <x:patternFill patternType="solid">
        <x:fgColor rgb="FFEEF3F8"/>
      </x:patternFill>
    </x:fill>
  </x:fills>
  <x:borders count="2">
    <x:border/>
    <x:border>
      <x:bottom style="thin">
        <x:color rgb="FF172E4D"/>
      </x:bottom>
    </x:border>
  </x:borders>
  <x:cellStyleXfs count="1">
    <x:xf numFmtId="0" fontId="0" fillId="0" borderId="0"/>
  </x:cellStyleXfs>
  <x:cellXfs count="24">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1" fillId="2" borderId="0" xfId="0" applyNumberFormat="1" applyFont="1" applyFill="1" applyBorder="1" applyAlignment="1">
      <x:alignment vertical="center"/>
    </x:xf>
    <x:xf numFmtId="0" fontId="2" fillId="2" borderId="0" xfId="0" applyNumberFormat="1" applyFont="1" applyFill="1" applyBorder="1" applyAlignment="1">
      <x:alignment vertical="center"/>
    </x:xf>
    <x:xf numFmtId="0" fontId="2" fillId="2" borderId="0" xfId="0" applyNumberFormat="1" applyFont="1" applyFill="1" applyBorder="1" applyAlignment="1">
      <x:alignment vertical="center" wrapText="1"/>
    </x:xf>
    <x:xf numFmtId="0" fontId="2" fillId="2" borderId="0" xfId="0" applyNumberFormat="1" applyFont="1" applyFill="1" applyBorder="1" applyAlignment="1">
      <x:alignment horizontal="center" vertical="center" wrapText="1"/>
    </x:xf>
    <x:xf numFmtId="0" fontId="1" fillId="0" borderId="0" xfId="0" applyNumberFormat="1" applyFont="1" applyFill="1" applyBorder="1" applyAlignment="1">
      <x:alignment vertical="center" wrapText="1"/>
    </x:xf>
    <x:xf numFmtId="0" fontId="1" fillId="0" borderId="0" xfId="0" applyNumberFormat="1" applyFont="1" applyFill="1" applyBorder="1" applyAlignment="1">
      <x:alignment vertical="top" wrapText="1"/>
    </x:xf>
    <x:xf numFmtId="200" fontId="1" fillId="0" borderId="0" xfId="0" applyNumberFormat="1" applyFont="1" applyFill="1" applyBorder="1" applyAlignment="1">
      <x:alignment vertical="top" wrapText="1"/>
    </x:xf>
    <x:xf numFmtId="201" fontId="1" fillId="0" borderId="0" xfId="0" applyNumberFormat="1" applyFont="1" applyFill="1" applyBorder="1" applyAlignment="1">
      <x:alignment vertical="top" wrapText="1"/>
    </x:xf>
    <x:xf numFmtId="0" fontId="3" fillId="0" borderId="0" xfId="0" applyNumberFormat="1" applyFont="1" applyFill="1" applyBorder="1" applyAlignment="1">
      <x:alignment vertical="top" wrapText="1"/>
    </x:xf>
    <x:xf numFmtId="202" fontId="1" fillId="0" borderId="0" xfId="0" applyNumberFormat="1" applyFont="1" applyFill="1" applyBorder="1" applyAlignment="1">
      <x:alignment vertical="top" wrapText="1"/>
    </x:xf>
    <x:xf numFmtId="203" fontId="1" fillId="0" borderId="0" xfId="0" applyNumberFormat="1" applyFont="1" applyFill="1" applyBorder="1" applyAlignment="1">
      <x:alignment vertical="top" wrapText="1"/>
    </x:xf>
    <x:xf numFmtId="0" fontId="4" fillId="0" borderId="0" xfId="0" applyNumberFormat="1" applyFont="1" applyFill="1" applyBorder="1" applyAlignment="1">
      <x:alignment vertical="center"/>
    </x:xf>
    <x:xf numFmtId="0" fontId="1" fillId="0" borderId="1" xfId="0" applyNumberFormat="1" applyFont="1" applyFill="1" applyBorder="1" applyAlignment="1">
      <x:alignment vertical="center"/>
    </x:xf>
    <x:xf numFmtId="0" fontId="5" fillId="0" borderId="0" xfId="0" applyNumberFormat="1" applyFont="1" applyFill="1" applyBorder="1" applyAlignment="1">
      <x:alignment vertical="center"/>
    </x:xf>
    <x:xf numFmtId="200" fontId="1" fillId="0" borderId="0" xfId="0" applyNumberFormat="1" applyFont="1" applyFill="1" applyBorder="1" applyAlignment="1">
      <x:alignment vertical="center"/>
    </x:xf>
    <x:xf numFmtId="0" fontId="1" fillId="3" borderId="0" xfId="0" applyNumberFormat="1" applyFont="1" applyFill="1" applyBorder="1" applyAlignment="1">
      <x:alignment vertical="center"/>
    </x:xf>
    <x:xf numFmtId="204" fontId="1" fillId="3" borderId="0" xfId="0" applyNumberFormat="1" applyFont="1" applyFill="1" applyBorder="1" applyAlignment="1">
      <x:alignment vertical="center"/>
    </x:xf>
    <x:xf numFmtId="204" fontId="1" fillId="0" borderId="0" xfId="0" applyNumberFormat="1" applyFont="1" applyFill="1" applyBorder="1" applyAlignment="1">
      <x:alignment vertical="center"/>
    </x:xf>
    <x:xf numFmtId="0" fontId="6" fillId="0" borderId="0" xfId="0" applyNumberFormat="1" applyFont="1" applyFill="1" applyBorder="1" applyAlignment="1">
      <x:alignment vertical="center"/>
    </x:xf>
    <x:xf numFmtId="0" fontId="6" fillId="0" borderId="0" xfId="0" applyNumberFormat="1" applyFont="1" applyFill="1" applyBorder="1" applyAlignment="1">
      <x:alignment vertical="center" wrapText="1"/>
    </x:xf>
    <x:xf numFmtId="0" fontId="6" fillId="0" borderId="0" xfId="0" applyNumberFormat="1" applyFont="1" applyFill="1" applyBorder="1" applyAlignment="1">
      <x:alignment vertical="top" wrapText="1"/>
    </x:xf>
  </x:cellXfs>
  <x:cellStyles count="1">
    <x:cellStyle name="Normal" xfId="0"/>
  </x:cellStyles>
  <x:dxfs count="2">
    <x:dxf>
      <x:font>
        <x:color rgb="FF265A41"/>
      </x:font>
      <x:fill>
        <x:patternFill patternType="solid">
          <x:bgColor rgb="FFE2EEE8"/>
        </x:patternFill>
      </x:fill>
    </x:dxf>
    <x:dxf>
      <x:font>
        <x:color rgb="FF697280"/>
      </x:font>
    </x:dxf>
  </x:dxfs>
</x:styleSheet>
</file>

<file path=xl/_rels/workbook.xml.rels>&#65279;<?xml version="1.0" encoding="utf-8"?><Relationships xmlns="http://schemas.openxmlformats.org/package/2006/relationships"><Relationship Type="http://schemas.openxmlformats.org/officeDocument/2006/relationships/styles" Target="/xl/styles.xml" Id="Rebd79c49af124bdb" /><Relationship Type="http://schemas.openxmlformats.org/officeDocument/2006/relationships/theme" Target="/xl/theme/theme1.xml" Id="Ra6b37d44ec7f4d75" /><Relationship Type="http://schemas.openxmlformats.org/officeDocument/2006/relationships/sharedStrings" Target="/xl/sharedStrings.xml" Id="R3e3a15b39a794d61" /><Relationship Type="http://schemas.openxmlformats.org/officeDocument/2006/relationships/worksheet" Target="/xl/worksheets/sheet1.xml" Id="Redeacbec47604e35" /><Relationship Type="http://schemas.openxmlformats.org/officeDocument/2006/relationships/worksheet" Target="/xl/worksheets/sheet2.xml" Id="R8c845cfc93584f65" /><Relationship Type="http://schemas.openxmlformats.org/officeDocument/2006/relationships/worksheet" Target="/xl/worksheets/sheet3.xml" Id="R0920275b737444d9" /><Relationship Type="http://schemas.openxmlformats.org/officeDocument/2006/relationships/worksheet" Target="/xl/worksheets/sheet4.xml" Id="R86766b73d06d4ba9" /></Relationships>
</file>

<file path=xl/drawings/_rels/drawing1.xml.rels>&#65279;<?xml version="1.0" encoding="utf-8"?><Relationships xmlns="http://schemas.openxmlformats.org/package/2006/relationships"><Relationship Type="http://schemas.openxmlformats.org/officeDocument/2006/relationships/chart" Target="/xl/drawings/charts/chart1.xml" Id="R7257e9c6c6b4407e"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1050">
                <a:latin typeface="Arial"/>
                <a:ea typeface="Arial"/>
                <a:cs typeface="Arial"/>
              </a:rPr>
              <a:t>Projects by completed edition</a:t>
            </a:r>
          </a:p>
        </c:rich>
      </c:tx>
      <c:overlay val="0"/>
      <c:txPr>
        <a:bodyPr xmlns:a="http://schemas.openxmlformats.org/drawingml/2006/main" anchorCtr="1"/>
        <a:lstStyle xmlns:a="http://schemas.openxmlformats.org/drawingml/2006/main"/>
        <a:p xmlns:a="http://schemas.openxmlformats.org/drawingml/2006/main">
          <a:pPr>
            <a:defRPr sz="1050">
              <a:latin typeface="Arial"/>
              <a:ea typeface="Arial"/>
              <a:cs typeface="Arial"/>
            </a:defRPr>
          </a:pPr>
        </a:p>
      </c:txPr>
    </c:title>
    <c:plotArea>
      <c:barChart>
        <c:barDir val="col"/>
        <c:varyColors val="0"/>
        <c:ser>
          <c:idx val="0"/>
          <c:order val="0"/>
          <c:tx>
            <c:v>Overall projects</c:v>
          </c:tx>
          <c:spPr>
            <a:solidFill xmlns:a="http://schemas.openxmlformats.org/drawingml/2006/main">
              <a:srgbClr val="172E4D"/>
            </a:solidFill>
          </c:spPr>
          <c:cat>
            <c:strRef>
              <c:f>'Summary'!$A$27:$A$35</c:f>
              <c:strCache>
                <c:ptCount val="0"/>
              </c:strCache>
            </c:strRef>
          </c:cat>
          <c:val>
            <c:numRef>
              <c:f>'Summary'!$B$27:$B$35</c:f>
              <c:numCache>
                <c:formatCode>0</c:formatCode>
                <c:ptCount val="0"/>
              </c:numCache>
            </c:numRef>
          </c:val>
        </c:ser>
        <c:ser>
          <c:idx val="1"/>
          <c:order val="1"/>
          <c:tx>
            <c:v>Supplementary</c:v>
          </c:tx>
          <c:spPr>
            <a:solidFill xmlns:a="http://schemas.openxmlformats.org/drawingml/2006/main">
              <a:srgbClr val="A5B7CA"/>
            </a:solidFill>
          </c:spPr>
          <c:cat>
            <c:strRef>
              <c:f>'Summary'!$A$27:$A$35</c:f>
              <c:strCache>
                <c:ptCount val="0"/>
              </c:strCache>
            </c:strRef>
          </c:cat>
          <c:val>
            <c:numRef>
              <c:f>'Summary'!$C$27:$C$35</c:f>
              <c:numCache>
                <c:formatCode>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825">
                <a:latin typeface="Arial"/>
                <a:ea typeface="Arial"/>
                <a:cs typeface="Arial"/>
              </a:defRPr>
            </a:pPr>
          </a:p>
        </c:txPr>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sourceLinked="0"/>
        <c:majorTickMark val="none"/>
        <c:minorTickMark val="none"/>
        <c:txPr>
          <a:bodyPr xmlns:a="http://schemas.openxmlformats.org/drawingml/2006/main" anchorCtr="1"/>
          <a:lstStyle xmlns:a="http://schemas.openxmlformats.org/drawingml/2006/main"/>
          <a:p xmlns:a="http://schemas.openxmlformats.org/drawingml/2006/main">
            <a:pPr>
              <a:defRPr sz="825">
                <a:latin typeface="Arial"/>
                <a:ea typeface="Arial"/>
                <a:cs typeface="Arial"/>
              </a:defRPr>
            </a:pPr>
          </a:p>
        </c:txPr>
        <c:crossAx val="48650112"/>
        <c:crossBetween val="between"/>
      </c:valAx>
    </c:plotArea>
    <c:legend>
      <c:legendPos val="t"/>
      <c:overlay val="0"/>
      <c:txPr>
        <a:bodyPr xmlns:a="http://schemas.openxmlformats.org/drawingml/2006/main" anchorCtr="1"/>
        <a:lstStyle xmlns:a="http://schemas.openxmlformats.org/drawingml/2006/main"/>
        <a:p xmlns:a="http://schemas.openxmlformats.org/drawingml/2006/main">
          <a:pPr>
            <a:defRPr sz="825">
              <a:latin typeface="Arial"/>
              <a:ea typeface="Arial"/>
              <a:cs typeface="Arial"/>
            </a:defRPr>
          </a:pPr>
        </a:p>
      </c:txPr>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4</xdr:col>
      <xdr:colOff>0</xdr:colOff>
      <xdr:row>25</xdr:row>
      <xdr:rowOff>0</xdr:rowOff>
    </xdr:from>
    <xdr:to>
      <xdr:col>11</xdr:col>
      <xdr:colOff>0</xdr:colOff>
      <xdr:row>42</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7257e9c6c6b4407e"/>
        </a:graphicData>
      </a:graphic>
    </xdr:graphicFrame>
    <xdr:clientData/>
  </xdr:twoCellAnchor>
</xdr:wsDr>
</file>

<file path=xl/tables/table1.xml><?xml version="1.0" encoding="utf-8"?>
<x:table xmlns:x="http://schemas.openxmlformats.org/spreadsheetml/2006/main" id="1" name="ProjectsTable" displayName="ProjectsTable" ref="A1:V37" headerRowCount="1" totalsRowCount="0" totalsRowShown="0">
  <x:autoFilter ref="A1:V37"/>
  <x:tableColumns count="22">
    <x:tableColumn id="1" name="ID"/>
    <x:tableColumn id="2" name="Year"/>
    <x:tableColumn id="3" name="Cohort"/>
    <x:tableColumn id="4" name="Project"/>
    <x:tableColumn id="5" name="Division"/>
    <x:tableColumn id="6" name="Rank recorded"/>
    <x:tableColumn id="7" name="Exact award labels"/>
    <x:tableColumn id="8" name="Target user / problem"/>
    <x:tableColumn id="9" name="Described workflow"/>
    <x:tableColumn id="10" name="Technologies"/>
    <x:tableColumn id="11" name="concrete_task"/>
    <x:tableColumn id="12" name="described_workflow"/>
    <x:tableColumn id="13" name="visual_demo_interface"/>
    <x:tableColumn id="14" name="external_api_service"/>
    <x:tableColumn id="15" name="social_benefit"/>
    <x:tableColumn id="16" name="hardware"/>
    <x:tableColumn id="17" name="ai_ml"/>
    <x:tableColumn id="18" name="accessibility_inclusion"/>
    <x:tableColumn id="19" name="Evidence notes"/>
    <x:tableColumn id="20" name="Limitations"/>
    <x:tableColumn id="21" name="Primary source URL"/>
    <x:tableColumn id="22" name="Access date"/>
  </x:tableColumns>
  <x:tableStyleInfo name="TableStyleLight1" showFirstColumn="0" showLastColumn="0" showRowStripes="1" showColumnStripes="0"/>
</x:table>
</file>

<file path=xl/tables/table2.xml><?xml version="1.0" encoding="utf-8"?>
<x:table xmlns:x="http://schemas.openxmlformats.org/spreadsheetml/2006/main" id="2" name="EditionsTable" displayName="EditionsTable" ref="A1:O11" headerRowCount="1" totalsRowCount="0" totalsRowShown="0">
  <x:autoFilter ref="A1:O11"/>
  <x:tableColumns count="15">
    <x:tableColumn id="1" name="Year"/>
    <x:tableColumn id="2" name="Status at cutoff"/>
    <x:tableColumn id="3" name="Dates / date caveats"/>
    <x:tableColumn id="4" name="Devpost participants"/>
    <x:tableColumn id="5" name="Gallery submissions"/>
    <x:tableColumn id="6" name="Displayed prizes (USD)"/>
    <x:tableColumn id="7" name="Prize caveat"/>
    <x:tableColumn id="8" name="Overall cohort count"/>
    <x:tableColumn id="9" name="Supplementary count"/>
    <x:tableColumn id="10" name="Published criteria"/>
    <x:tableColumn id="11" name="Overall-prize prose"/>
    <x:tableColumn id="12" name="Winner badges observed"/>
    <x:tableColumn id="13" name="Coverage / edition notes"/>
    <x:tableColumn id="14" name="Event source URL"/>
    <x:tableColumn id="15" name="Gallery source URL"/>
  </x:tableColumns>
  <x:tableStyleInfo name="TableStyleLight1"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734573d7219744e4" /></Relationships>
</file>

<file path=xl/worksheets/_rels/sheet2.xml.rels>&#65279;<?xml version="1.0" encoding="utf-8"?><Relationships xmlns="http://schemas.openxmlformats.org/package/2006/relationships"><Relationship Type="http://schemas.openxmlformats.org/officeDocument/2006/relationships/table" Target="/xl/tables/table1.xml" Id="Rf9c1f8f1188b4f11" /></Relationships>
</file>

<file path=xl/worksheets/_rels/sheet3.xml.rels>&#65279;<?xml version="1.0" encoding="utf-8"?><Relationships xmlns="http://schemas.openxmlformats.org/package/2006/relationships"><Relationship Type="http://schemas.openxmlformats.org/officeDocument/2006/relationships/table" Target="/xl/tables/table2.xml" Id="R9abc37a234b347cb" /></Relationships>
</file>

<file path=xl/worksheets/sheet1.xml><?xml version="1.0" encoding="utf-8"?>
<x:worksheet xmlns:x="http://schemas.openxmlformats.org/spreadsheetml/2006/main">
  <x:sheetPr>
    <x:tabColor rgb="FF172E4D"/>
  </x:sheetPr>
  <x:sheetViews>
    <x:sheetView showGridLines="0" workbookViewId="0"/>
  </x:sheetViews>
  <x:sheetFormatPr defaultRowHeight="15"/>
  <x:cols>
    <x:col min="1" max="1" width="33" hidden="0" customWidth="1"/>
    <x:col min="2" max="2" width="14" hidden="0" customWidth="1"/>
    <x:col min="3" max="3" width="20" hidden="0" customWidth="1"/>
    <x:col min="4" max="4" width="13" hidden="0" customWidth="1"/>
    <x:col min="5" max="5" width="13" hidden="0" customWidth="1"/>
    <x:col min="6" max="6" width="3" hidden="0" customWidth="1"/>
    <x:col min="7" max="7" width="17" hidden="0" customWidth="1"/>
    <x:col min="8" max="8" width="17" hidden="0" customWidth="1"/>
    <x:col min="9" max="9" width="13" hidden="0" customWidth="1"/>
    <x:col min="10" max="10" width="13" hidden="0" customWidth="1"/>
    <x:col min="11" max="11" width="3" hidden="0" customWidth="1"/>
    <x:col min="12" max="12" width="12" hidden="0" customWidth="1"/>
    <x:col min="13" max="13" width="12" hidden="0" customWidth="1"/>
    <x:col min="14" max="14" width="12" hidden="0" customWidth="1"/>
    <x:col min="15" max="15" width="12" hidden="0" customWidth="1"/>
    <x:col min="16" max="16" width="12" hidden="0" customWidth="1"/>
    <x:col min="17" max="17" width="12" hidden="0" customWidth="1"/>
    <x:col min="18" max="18" width="12" hidden="0" customWidth="1"/>
  </x:cols>
  <x:sheetData>
    <x:row r="1">
      <x:c r="A1" s="2"/>
      <x:c r="B1" s="2"/>
      <x:c r="C1" s="2"/>
      <x:c r="D1" s="2"/>
      <x:c r="E1" s="2"/>
      <x:c r="F1" s="2"/>
      <x:c r="G1" s="2"/>
      <x:c r="H1" s="2"/>
      <x:c r="I1" s="2"/>
      <x:c r="J1" s="2"/>
      <x:c r="K1" s="2"/>
      <x:c r="L1" s="2"/>
      <x:c r="M1" s="2"/>
      <x:c r="N1" s="2"/>
      <x:c r="O1" s="2"/>
      <x:c r="P1" s="2"/>
      <x:c r="Q1" s="2"/>
      <x:c r="R1" s="2"/>
    </x:row>
    <x:row r="2">
      <x:c r="A2" s="14" t="str">
        <x:v>ShellHacks winning projects</x:v>
      </x:c>
      <x:c r="B2" s="2"/>
      <x:c r="C2" s="2"/>
      <x:c r="D2" s="2"/>
      <x:c r="E2" s="2"/>
      <x:c r="F2" s="2"/>
      <x:c r="G2" s="2"/>
      <x:c r="H2" s="2"/>
      <x:c r="I2" s="2"/>
      <x:c r="J2" s="2"/>
      <x:c r="K2" s="2"/>
      <x:c r="L2" s="2"/>
      <x:c r="M2" s="2"/>
      <x:c r="N2" s="2"/>
      <x:c r="O2" s="2"/>
      <x:c r="P2" s="2"/>
      <x:c r="Q2" s="2"/>
      <x:c r="R2" s="2"/>
    </x:row>
    <x:row r="3">
      <x:c r="A3" s="15"/>
      <x:c r="B3" s="15"/>
      <x:c r="C3" s="15"/>
      <x:c r="D3" s="15"/>
      <x:c r="E3" s="15"/>
      <x:c r="F3" s="15"/>
      <x:c r="G3" s="15"/>
      <x:c r="H3" s="15"/>
      <x:c r="I3" s="15"/>
      <x:c r="J3" s="15"/>
      <x:c r="K3" s="2"/>
      <x:c r="L3" s="2"/>
      <x:c r="M3" s="2"/>
      <x:c r="N3" s="2"/>
      <x:c r="O3" s="2"/>
      <x:c r="P3" s="2"/>
      <x:c r="Q3" s="2"/>
      <x:c r="R3" s="2"/>
    </x:row>
    <x:row r="4">
      <x:c r="A4" s="16" t="str">
        <x:v>Completed editions 2017–2025. Evidence cutoff: 2026-09-25.</x:v>
      </x:c>
      <x:c r="B4" s="2"/>
      <x:c r="C4" s="2"/>
      <x:c r="D4" s="2"/>
      <x:c r="E4" s="2"/>
      <x:c r="F4" s="2"/>
      <x:c r="G4" s="2"/>
      <x:c r="H4" s="2"/>
      <x:c r="I4" s="2"/>
      <x:c r="J4" s="2"/>
      <x:c r="K4" s="2"/>
      <x:c r="L4" s="2"/>
      <x:c r="M4" s="2"/>
      <x:c r="N4" s="2"/>
      <x:c r="O4" s="2"/>
      <x:c r="P4" s="2"/>
      <x:c r="Q4" s="2"/>
      <x:c r="R4" s="2"/>
    </x:row>
    <x:row r="5">
      <x:c r="A5" s="2"/>
      <x:c r="B5" s="2"/>
      <x:c r="C5" s="2"/>
      <x:c r="D5" s="2"/>
      <x:c r="E5" s="2"/>
      <x:c r="F5" s="2"/>
      <x:c r="G5" s="2"/>
      <x:c r="H5" s="2"/>
      <x:c r="I5" s="2"/>
      <x:c r="J5" s="2"/>
      <x:c r="K5" s="2"/>
      <x:c r="L5" s="2"/>
      <x:c r="M5" s="2"/>
      <x:c r="N5" s="2"/>
      <x:c r="O5" s="2"/>
      <x:c r="P5" s="2"/>
      <x:c r="Q5" s="2"/>
      <x:c r="R5" s="2"/>
    </x:row>
    <x:row r="6" ht="34" customHeight="1">
      <x:c r="A6" s="6" t="str">
        <x:v>Cohort</x:v>
      </x:c>
      <x:c r="B6" s="6" t="str">
        <x:v>Projects</x:v>
      </x:c>
      <x:c r="C6" s="6" t="str">
        <x:v>Use</x:v>
      </x:c>
      <x:c r="D6" s="2"/>
      <x:c r="E6" s="2"/>
      <x:c r="F6" s="2"/>
      <x:c r="G6" s="2"/>
      <x:c r="H6" s="2"/>
      <x:c r="I6" s="2"/>
      <x:c r="J6" s="2"/>
      <x:c r="K6" s="2"/>
      <x:c r="L6" s="2"/>
      <x:c r="M6" s="2"/>
      <x:c r="N6" s="2"/>
      <x:c r="O6" s="2"/>
      <x:c r="P6" s="2"/>
      <x:c r="Q6" s="2"/>
      <x:c r="R6" s="2"/>
    </x:row>
    <x:row r="7">
      <x:c r="A7" s="2" t="str">
        <x:v>Overall</x:v>
      </x:c>
      <x:c r="B7" s="17" t="n">
        <x:f>COUNTIFS('Projects'!$C$2:$C$37,"overall")</x:f>
        <x:v>31</x:v>
      </x:c>
      <x:c r="C7" s="2" t="str">
        <x:v>Primary analysis</x:v>
      </x:c>
      <x:c r="D7" s="2"/>
      <x:c r="E7" s="2"/>
      <x:c r="F7" s="2"/>
      <x:c r="G7" s="2"/>
      <x:c r="H7" s="2"/>
      <x:c r="I7" s="2"/>
      <x:c r="J7" s="2"/>
      <x:c r="K7" s="2"/>
      <x:c r="L7" s="2"/>
      <x:c r="M7" s="2"/>
      <x:c r="N7" s="2"/>
      <x:c r="O7" s="2"/>
      <x:c r="P7" s="2"/>
      <x:c r="Q7" s="2"/>
      <x:c r="R7" s="2"/>
    </x:row>
    <x:row r="8">
      <x:c r="A8" s="2" t="str">
        <x:v>Supplementary</x:v>
      </x:c>
      <x:c r="B8" s="17" t="n">
        <x:f>COUNTIFS('Projects'!$C$2:$C$37,"supplementary")</x:f>
        <x:v>5</x:v>
      </x:c>
      <x:c r="C8" s="2" t="str">
        <x:v>Separate context</x:v>
      </x:c>
      <x:c r="D8" s="2"/>
      <x:c r="E8" s="2"/>
      <x:c r="F8" s="2"/>
      <x:c r="G8" s="2"/>
      <x:c r="H8" s="2"/>
      <x:c r="I8" s="2"/>
      <x:c r="J8" s="2"/>
      <x:c r="K8" s="2"/>
      <x:c r="L8" s="2"/>
      <x:c r="M8" s="2"/>
      <x:c r="N8" s="2"/>
      <x:c r="O8" s="2"/>
      <x:c r="P8" s="2"/>
      <x:c r="Q8" s="2"/>
      <x:c r="R8" s="2"/>
    </x:row>
    <x:row r="9">
      <x:c r="A9" s="2" t="str">
        <x:v>All records</x:v>
      </x:c>
      <x:c r="B9" s="17" t="n">
        <x:f>SUM(B7:B8)</x:f>
        <x:v>36</x:v>
      </x:c>
      <x:c r="C9" s="2" t="str">
        <x:v>Dataset size</x:v>
      </x:c>
      <x:c r="D9" s="2"/>
      <x:c r="E9" s="2"/>
      <x:c r="F9" s="2"/>
      <x:c r="G9" s="2"/>
      <x:c r="H9" s="2"/>
      <x:c r="I9" s="2"/>
      <x:c r="J9" s="2"/>
      <x:c r="K9" s="2"/>
      <x:c r="L9" s="2"/>
      <x:c r="M9" s="2"/>
      <x:c r="N9" s="2"/>
      <x:c r="O9" s="2"/>
      <x:c r="P9" s="2"/>
      <x:c r="Q9" s="2"/>
      <x:c r="R9" s="2"/>
    </x:row>
    <x:row r="10">
      <x:c r="A10" s="2"/>
      <x:c r="B10" s="2"/>
      <x:c r="C10" s="2"/>
      <x:c r="D10" s="2"/>
      <x:c r="E10" s="2"/>
      <x:c r="F10" s="2"/>
      <x:c r="G10" s="2"/>
      <x:c r="H10" s="2"/>
      <x:c r="I10" s="2"/>
      <x:c r="J10" s="2"/>
      <x:c r="K10" s="2"/>
      <x:c r="L10" s="2"/>
      <x:c r="M10" s="2"/>
      <x:c r="N10" s="2"/>
      <x:c r="O10" s="2"/>
      <x:c r="P10" s="2"/>
      <x:c r="Q10" s="2"/>
      <x:c r="R10" s="2"/>
    </x:row>
    <x:row r="11">
      <x:c r="A11" s="2"/>
      <x:c r="B11" s="2"/>
      <x:c r="C11" s="2"/>
      <x:c r="D11" s="2"/>
      <x:c r="E11" s="2"/>
      <x:c r="F11" s="2"/>
      <x:c r="G11" s="2"/>
      <x:c r="H11" s="2"/>
      <x:c r="I11" s="2"/>
      <x:c r="J11" s="2"/>
      <x:c r="K11" s="2"/>
      <x:c r="L11" s="2"/>
      <x:c r="M11" s="2"/>
      <x:c r="N11" s="2"/>
      <x:c r="O11" s="2"/>
      <x:c r="P11" s="2"/>
      <x:c r="Q11" s="2"/>
      <x:c r="R11" s="2"/>
    </x:row>
    <x:row r="12" ht="34" customHeight="1">
      <x:c r="A12" s="6" t="str">
        <x:v>Documented feature</x:v>
      </x:c>
      <x:c r="B12" s="6" t="str">
        <x:v>Overall yes</x:v>
      </x:c>
      <x:c r="C12" s="6" t="str">
        <x:v>Not established</x:v>
      </x:c>
      <x:c r="D12" s="6" t="str">
        <x:v>Overall n</x:v>
      </x:c>
      <x:c r="E12" s="6" t="str">
        <x:v>Share yes</x:v>
      </x:c>
      <x:c r="F12" s="2"/>
      <x:c r="G12" s="6" t="str">
        <x:v>Supplementary yes</x:v>
      </x:c>
      <x:c r="H12" s="6" t="str">
        <x:v>Not established</x:v>
      </x:c>
      <x:c r="I12" s="6" t="str">
        <x:v>Supp. n</x:v>
      </x:c>
      <x:c r="J12" s="6" t="str">
        <x:v>Share yes</x:v>
      </x:c>
      <x:c r="K12" s="2"/>
      <x:c r="L12" s="2"/>
      <x:c r="M12" s="2"/>
      <x:c r="N12" s="2"/>
      <x:c r="O12" s="2"/>
      <x:c r="P12" s="2"/>
      <x:c r="Q12" s="2"/>
      <x:c r="R12" s="2"/>
    </x:row>
    <x:row r="13" ht="24" customHeight="1">
      <x:c r="A13" s="18" t="str">
        <x:v>Specific intended task</x:v>
      </x:c>
      <x:c r="B13" s="18" t="n">
        <x:f>COUNTIFS('Projects'!$C$2:$C$37,"overall",'Projects'!$K$2:$K$37,"yes")</x:f>
        <x:v>31</x:v>
      </x:c>
      <x:c r="C13" s="18" t="n">
        <x:f>COUNTIFS('Projects'!$C$2:$C$37,"overall",'Projects'!$K$2:$K$37,"not_established")</x:f>
        <x:v>0</x:v>
      </x:c>
      <x:c r="D13" s="18" t="n">
        <x:f>$B$7</x:f>
        <x:v>31</x:v>
      </x:c>
      <x:c r="E13" s="19" t="n">
        <x:f>IF(D13=0,"n.a.",B13/D13)</x:f>
        <x:v>1</x:v>
      </x:c>
      <x:c r="F13" s="2"/>
      <x:c r="G13" s="18" t="n">
        <x:f>COUNTIFS('Projects'!$C$2:$C$37,"supplementary",'Projects'!$K$2:$K$37,"yes")</x:f>
        <x:v>5</x:v>
      </x:c>
      <x:c r="H13" s="18" t="n">
        <x:f>COUNTIFS('Projects'!$C$2:$C$37,"supplementary",'Projects'!$K$2:$K$37,"not_established")</x:f>
        <x:v>0</x:v>
      </x:c>
      <x:c r="I13" s="18" t="n">
        <x:f>$B$8</x:f>
        <x:v>5</x:v>
      </x:c>
      <x:c r="J13" s="19" t="n">
        <x:f>IF(I13=0,"n.a.",G13/I13)</x:f>
        <x:v>1</x:v>
      </x:c>
      <x:c r="K13" s="2"/>
      <x:c r="L13" s="2"/>
      <x:c r="M13" s="2"/>
      <x:c r="N13" s="2"/>
      <x:c r="O13" s="2"/>
      <x:c r="P13" s="2"/>
      <x:c r="Q13" s="2"/>
      <x:c r="R13" s="2"/>
    </x:row>
    <x:row r="14" ht="24" customHeight="1">
      <x:c r="A14" s="2" t="str">
        <x:v>Described workflow</x:v>
      </x:c>
      <x:c r="B14" s="2" t="n">
        <x:f>COUNTIFS('Projects'!$C$2:$C$37,"overall",'Projects'!$L$2:$L$37,"yes")</x:f>
        <x:v>30</x:v>
      </x:c>
      <x:c r="C14" s="2" t="n">
        <x:f>COUNTIFS('Projects'!$C$2:$C$37,"overall",'Projects'!$L$2:$L$37,"not_established")</x:f>
        <x:v>1</x:v>
      </x:c>
      <x:c r="D14" s="2" t="n">
        <x:f>$B$7</x:f>
        <x:v>31</x:v>
      </x:c>
      <x:c r="E14" s="20" t="n">
        <x:f>IF(D14=0,"n.a.",B14/D14)</x:f>
        <x:v>0.967741935483871</x:v>
      </x:c>
      <x:c r="F14" s="2"/>
      <x:c r="G14" s="2" t="n">
        <x:f>COUNTIFS('Projects'!$C$2:$C$37,"supplementary",'Projects'!$L$2:$L$37,"yes")</x:f>
        <x:v>5</x:v>
      </x:c>
      <x:c r="H14" s="2" t="n">
        <x:f>COUNTIFS('Projects'!$C$2:$C$37,"supplementary",'Projects'!$L$2:$L$37,"not_established")</x:f>
        <x:v>0</x:v>
      </x:c>
      <x:c r="I14" s="2" t="n">
        <x:f>$B$8</x:f>
        <x:v>5</x:v>
      </x:c>
      <x:c r="J14" s="20" t="n">
        <x:f>IF(I14=0,"n.a.",G14/I14)</x:f>
        <x:v>1</x:v>
      </x:c>
      <x:c r="K14" s="2"/>
      <x:c r="L14" s="2"/>
      <x:c r="M14" s="2"/>
      <x:c r="N14" s="2"/>
      <x:c r="O14" s="2"/>
      <x:c r="P14" s="2"/>
      <x:c r="Q14" s="2"/>
      <x:c r="R14" s="2"/>
    </x:row>
    <x:row r="15" ht="24" customHeight="1">
      <x:c r="A15" s="18" t="str">
        <x:v>Interface / demonstrator</x:v>
      </x:c>
      <x:c r="B15" s="18" t="n">
        <x:f>COUNTIFS('Projects'!$C$2:$C$37,"overall",'Projects'!$M$2:$M$37,"yes")</x:f>
        <x:v>30</x:v>
      </x:c>
      <x:c r="C15" s="18" t="n">
        <x:f>COUNTIFS('Projects'!$C$2:$C$37,"overall",'Projects'!$M$2:$M$37,"not_established")</x:f>
        <x:v>1</x:v>
      </x:c>
      <x:c r="D15" s="18" t="n">
        <x:f>$B$7</x:f>
        <x:v>31</x:v>
      </x:c>
      <x:c r="E15" s="19" t="n">
        <x:f>IF(D15=0,"n.a.",B15/D15)</x:f>
        <x:v>0.967741935483871</x:v>
      </x:c>
      <x:c r="F15" s="2"/>
      <x:c r="G15" s="18" t="n">
        <x:f>COUNTIFS('Projects'!$C$2:$C$37,"supplementary",'Projects'!$M$2:$M$37,"yes")</x:f>
        <x:v>5</x:v>
      </x:c>
      <x:c r="H15" s="18" t="n">
        <x:f>COUNTIFS('Projects'!$C$2:$C$37,"supplementary",'Projects'!$M$2:$M$37,"not_established")</x:f>
        <x:v>0</x:v>
      </x:c>
      <x:c r="I15" s="18" t="n">
        <x:f>$B$8</x:f>
        <x:v>5</x:v>
      </x:c>
      <x:c r="J15" s="19" t="n">
        <x:f>IF(I15=0,"n.a.",G15/I15)</x:f>
        <x:v>1</x:v>
      </x:c>
      <x:c r="K15" s="2"/>
      <x:c r="L15" s="2"/>
      <x:c r="M15" s="2"/>
      <x:c r="N15" s="2"/>
      <x:c r="O15" s="2"/>
      <x:c r="P15" s="2"/>
      <x:c r="Q15" s="2"/>
      <x:c r="R15" s="2"/>
    </x:row>
    <x:row r="16" ht="24" customHeight="1">
      <x:c r="A16" s="2" t="str">
        <x:v>External API / service</x:v>
      </x:c>
      <x:c r="B16" s="2" t="n">
        <x:f>COUNTIFS('Projects'!$C$2:$C$37,"overall",'Projects'!$N$2:$N$37,"yes")</x:f>
        <x:v>23</x:v>
      </x:c>
      <x:c r="C16" s="2" t="n">
        <x:f>COUNTIFS('Projects'!$C$2:$C$37,"overall",'Projects'!$N$2:$N$37,"not_established")</x:f>
        <x:v>8</x:v>
      </x:c>
      <x:c r="D16" s="2" t="n">
        <x:f>$B$7</x:f>
        <x:v>31</x:v>
      </x:c>
      <x:c r="E16" s="20" t="n">
        <x:f>IF(D16=0,"n.a.",B16/D16)</x:f>
        <x:v>0.7419354838709677</x:v>
      </x:c>
      <x:c r="F16" s="2"/>
      <x:c r="G16" s="2" t="n">
        <x:f>COUNTIFS('Projects'!$C$2:$C$37,"supplementary",'Projects'!$N$2:$N$37,"yes")</x:f>
        <x:v>4</x:v>
      </x:c>
      <x:c r="H16" s="2" t="n">
        <x:f>COUNTIFS('Projects'!$C$2:$C$37,"supplementary",'Projects'!$N$2:$N$37,"not_established")</x:f>
        <x:v>1</x:v>
      </x:c>
      <x:c r="I16" s="2" t="n">
        <x:f>$B$8</x:f>
        <x:v>5</x:v>
      </x:c>
      <x:c r="J16" s="20" t="n">
        <x:f>IF(I16=0,"n.a.",G16/I16)</x:f>
        <x:v>0.8</x:v>
      </x:c>
      <x:c r="K16" s="2"/>
      <x:c r="L16" s="2"/>
      <x:c r="M16" s="2"/>
      <x:c r="N16" s="2"/>
      <x:c r="O16" s="2"/>
      <x:c r="P16" s="2"/>
      <x:c r="Q16" s="2"/>
      <x:c r="R16" s="2"/>
    </x:row>
    <x:row r="17" ht="24" customHeight="1">
      <x:c r="A17" s="18" t="str">
        <x:v>Intended social benefit</x:v>
      </x:c>
      <x:c r="B17" s="18" t="n">
        <x:f>COUNTIFS('Projects'!$C$2:$C$37,"overall",'Projects'!$O$2:$O$37,"yes")</x:f>
        <x:v>20</x:v>
      </x:c>
      <x:c r="C17" s="18" t="n">
        <x:f>COUNTIFS('Projects'!$C$2:$C$37,"overall",'Projects'!$O$2:$O$37,"not_established")</x:f>
        <x:v>11</x:v>
      </x:c>
      <x:c r="D17" s="18" t="n">
        <x:f>$B$7</x:f>
        <x:v>31</x:v>
      </x:c>
      <x:c r="E17" s="19" t="n">
        <x:f>IF(D17=0,"n.a.",B17/D17)</x:f>
        <x:v>0.6451612903225806</x:v>
      </x:c>
      <x:c r="F17" s="2"/>
      <x:c r="G17" s="18" t="n">
        <x:f>COUNTIFS('Projects'!$C$2:$C$37,"supplementary",'Projects'!$O$2:$O$37,"yes")</x:f>
        <x:v>4</x:v>
      </x:c>
      <x:c r="H17" s="18" t="n">
        <x:f>COUNTIFS('Projects'!$C$2:$C$37,"supplementary",'Projects'!$O$2:$O$37,"not_established")</x:f>
        <x:v>1</x:v>
      </x:c>
      <x:c r="I17" s="18" t="n">
        <x:f>$B$8</x:f>
        <x:v>5</x:v>
      </x:c>
      <x:c r="J17" s="19" t="n">
        <x:f>IF(I17=0,"n.a.",G17/I17)</x:f>
        <x:v>0.8</x:v>
      </x:c>
      <x:c r="K17" s="2"/>
      <x:c r="L17" s="2"/>
      <x:c r="M17" s="2"/>
      <x:c r="N17" s="2"/>
      <x:c r="O17" s="2"/>
      <x:c r="P17" s="2"/>
      <x:c r="Q17" s="2"/>
      <x:c r="R17" s="2"/>
    </x:row>
    <x:row r="18" ht="24" customHeight="1">
      <x:c r="A18" s="2" t="str">
        <x:v>Specialized hardware</x:v>
      </x:c>
      <x:c r="B18" s="2" t="n">
        <x:f>COUNTIFS('Projects'!$C$2:$C$37,"overall",'Projects'!$P$2:$P$37,"yes")</x:f>
        <x:v>12</x:v>
      </x:c>
      <x:c r="C18" s="2" t="n">
        <x:f>COUNTIFS('Projects'!$C$2:$C$37,"overall",'Projects'!$P$2:$P$37,"not_established")</x:f>
        <x:v>19</x:v>
      </x:c>
      <x:c r="D18" s="2" t="n">
        <x:f>$B$7</x:f>
        <x:v>31</x:v>
      </x:c>
      <x:c r="E18" s="20" t="n">
        <x:f>IF(D18=0,"n.a.",B18/D18)</x:f>
        <x:v>0.3870967741935484</x:v>
      </x:c>
      <x:c r="F18" s="2"/>
      <x:c r="G18" s="2" t="n">
        <x:f>COUNTIFS('Projects'!$C$2:$C$37,"supplementary",'Projects'!$P$2:$P$37,"yes")</x:f>
        <x:v>2</x:v>
      </x:c>
      <x:c r="H18" s="2" t="n">
        <x:f>COUNTIFS('Projects'!$C$2:$C$37,"supplementary",'Projects'!$P$2:$P$37,"not_established")</x:f>
        <x:v>3</x:v>
      </x:c>
      <x:c r="I18" s="2" t="n">
        <x:f>$B$8</x:f>
        <x:v>5</x:v>
      </x:c>
      <x:c r="J18" s="20" t="n">
        <x:f>IF(I18=0,"n.a.",G18/I18)</x:f>
        <x:v>0.4</x:v>
      </x:c>
      <x:c r="K18" s="2"/>
      <x:c r="L18" s="2"/>
      <x:c r="M18" s="2"/>
      <x:c r="N18" s="2"/>
      <x:c r="O18" s="2"/>
      <x:c r="P18" s="2"/>
      <x:c r="Q18" s="2"/>
      <x:c r="R18" s="2"/>
    </x:row>
    <x:row r="19" ht="24" customHeight="1">
      <x:c r="A19" s="18" t="str">
        <x:v>Runtime AI / ML</x:v>
      </x:c>
      <x:c r="B19" s="18" t="n">
        <x:f>COUNTIFS('Projects'!$C$2:$C$37,"overall",'Projects'!$Q$2:$Q$37,"yes")</x:f>
        <x:v>9</x:v>
      </x:c>
      <x:c r="C19" s="18" t="n">
        <x:f>COUNTIFS('Projects'!$C$2:$C$37,"overall",'Projects'!$Q$2:$Q$37,"not_established")</x:f>
        <x:v>22</x:v>
      </x:c>
      <x:c r="D19" s="18" t="n">
        <x:f>$B$7</x:f>
        <x:v>31</x:v>
      </x:c>
      <x:c r="E19" s="19" t="n">
        <x:f>IF(D19=0,"n.a.",B19/D19)</x:f>
        <x:v>0.2903225806451613</x:v>
      </x:c>
      <x:c r="F19" s="2"/>
      <x:c r="G19" s="18" t="n">
        <x:f>COUNTIFS('Projects'!$C$2:$C$37,"supplementary",'Projects'!$Q$2:$Q$37,"yes")</x:f>
        <x:v>4</x:v>
      </x:c>
      <x:c r="H19" s="18" t="n">
        <x:f>COUNTIFS('Projects'!$C$2:$C$37,"supplementary",'Projects'!$Q$2:$Q$37,"not_established")</x:f>
        <x:v>1</x:v>
      </x:c>
      <x:c r="I19" s="18" t="n">
        <x:f>$B$8</x:f>
        <x:v>5</x:v>
      </x:c>
      <x:c r="J19" s="19" t="n">
        <x:f>IF(I19=0,"n.a.",G19/I19)</x:f>
        <x:v>0.8</x:v>
      </x:c>
      <x:c r="K19" s="2"/>
      <x:c r="L19" s="2"/>
      <x:c r="M19" s="2"/>
      <x:c r="N19" s="2"/>
      <x:c r="O19" s="2"/>
      <x:c r="P19" s="2"/>
      <x:c r="Q19" s="2"/>
      <x:c r="R19" s="2"/>
    </x:row>
    <x:row r="20" ht="24" customHeight="1">
      <x:c r="A20" s="2" t="str">
        <x:v>Accessibility / inclusion</x:v>
      </x:c>
      <x:c r="B20" s="2" t="n">
        <x:f>COUNTIFS('Projects'!$C$2:$C$37,"overall",'Projects'!$R$2:$R$37,"yes")</x:f>
        <x:v>7</x:v>
      </x:c>
      <x:c r="C20" s="2" t="n">
        <x:f>COUNTIFS('Projects'!$C$2:$C$37,"overall",'Projects'!$R$2:$R$37,"not_established")</x:f>
        <x:v>24</x:v>
      </x:c>
      <x:c r="D20" s="2" t="n">
        <x:f>$B$7</x:f>
        <x:v>31</x:v>
      </x:c>
      <x:c r="E20" s="20" t="n">
        <x:f>IF(D20=0,"n.a.",B20/D20)</x:f>
        <x:v>0.22580645161290322</x:v>
      </x:c>
      <x:c r="F20" s="2"/>
      <x:c r="G20" s="2" t="n">
        <x:f>COUNTIFS('Projects'!$C$2:$C$37,"supplementary",'Projects'!$R$2:$R$37,"yes")</x:f>
        <x:v>2</x:v>
      </x:c>
      <x:c r="H20" s="2" t="n">
        <x:f>COUNTIFS('Projects'!$C$2:$C$37,"supplementary",'Projects'!$R$2:$R$37,"not_established")</x:f>
        <x:v>3</x:v>
      </x:c>
      <x:c r="I20" s="2" t="n">
        <x:f>$B$8</x:f>
        <x:v>5</x:v>
      </x:c>
      <x:c r="J20" s="20" t="n">
        <x:f>IF(I20=0,"n.a.",G20/I20)</x:f>
        <x:v>0.4</x:v>
      </x:c>
      <x:c r="K20" s="2"/>
      <x:c r="L20" s="2"/>
      <x:c r="M20" s="2"/>
      <x:c r="N20" s="2"/>
      <x:c r="O20" s="2"/>
      <x:c r="P20" s="2"/>
      <x:c r="Q20" s="2"/>
      <x:c r="R20" s="2"/>
    </x:row>
    <x:row r="21">
      <x:c r="A21" s="2"/>
      <x:c r="B21" s="2"/>
      <x:c r="C21" s="2"/>
      <x:c r="D21" s="2"/>
      <x:c r="E21" s="2"/>
      <x:c r="F21" s="2"/>
      <x:c r="G21" s="2"/>
      <x:c r="H21" s="2"/>
      <x:c r="I21" s="2"/>
      <x:c r="J21" s="2"/>
      <x:c r="K21" s="2"/>
      <x:c r="L21" s="2"/>
      <x:c r="M21" s="2"/>
      <x:c r="N21" s="2"/>
      <x:c r="O21" s="2"/>
      <x:c r="P21" s="2"/>
      <x:c r="Q21" s="2"/>
      <x:c r="R21" s="2"/>
    </x:row>
    <x:row r="22">
      <x:c r="A22" s="16" t="str">
        <x:v>Shares describe documented features among winners; they do not estimate winning probability.</x:v>
      </x:c>
      <x:c r="B22" s="2"/>
      <x:c r="C22" s="2"/>
      <x:c r="D22" s="2"/>
      <x:c r="E22" s="2"/>
      <x:c r="F22" s="2"/>
      <x:c r="G22" s="2"/>
      <x:c r="H22" s="2"/>
      <x:c r="I22" s="2"/>
      <x:c r="J22" s="2"/>
      <x:c r="K22" s="2"/>
      <x:c r="L22" s="2"/>
      <x:c r="M22" s="2"/>
      <x:c r="N22" s="2"/>
      <x:c r="O22" s="2"/>
      <x:c r="P22" s="2"/>
      <x:c r="Q22" s="2"/>
      <x:c r="R22" s="2"/>
    </x:row>
    <x:row r="23">
      <x:c r="A23" s="16" t="str">
        <x:v>Not established includes missing, ambiguous and future-only evidence. It does not mean absent.</x:v>
      </x:c>
      <x:c r="B23" s="2"/>
      <x:c r="C23" s="2"/>
      <x:c r="D23" s="2"/>
      <x:c r="E23" s="2"/>
      <x:c r="F23" s="2"/>
      <x:c r="G23" s="2"/>
      <x:c r="H23" s="2"/>
      <x:c r="I23" s="2"/>
      <x:c r="J23" s="2"/>
      <x:c r="K23" s="2"/>
      <x:c r="L23" s="2"/>
      <x:c r="M23" s="2"/>
      <x:c r="N23" s="2"/>
      <x:c r="O23" s="2"/>
      <x:c r="P23" s="2"/>
      <x:c r="Q23" s="2"/>
      <x:c r="R23" s="2"/>
    </x:row>
    <x:row r="24">
      <x:c r="A24" s="2"/>
      <x:c r="B24" s="2"/>
      <x:c r="C24" s="2"/>
      <x:c r="D24" s="2"/>
      <x:c r="E24" s="2"/>
      <x:c r="F24" s="2"/>
      <x:c r="G24" s="2"/>
      <x:c r="H24" s="2"/>
      <x:c r="I24" s="2"/>
      <x:c r="J24" s="2"/>
      <x:c r="K24" s="2"/>
      <x:c r="L24" s="2"/>
      <x:c r="M24" s="2"/>
      <x:c r="N24" s="2"/>
      <x:c r="O24" s="2"/>
      <x:c r="P24" s="2"/>
      <x:c r="Q24" s="2"/>
      <x:c r="R24" s="2"/>
    </x:row>
    <x:row r="25">
      <x:c r="A25" s="2"/>
      <x:c r="B25" s="2"/>
      <x:c r="C25" s="2"/>
      <x:c r="D25" s="2"/>
      <x:c r="E25" s="2"/>
      <x:c r="F25" s="2"/>
      <x:c r="G25" s="2"/>
      <x:c r="H25" s="2"/>
      <x:c r="I25" s="2"/>
      <x:c r="J25" s="2"/>
      <x:c r="K25" s="2"/>
      <x:c r="L25" s="2"/>
      <x:c r="M25" s="2"/>
      <x:c r="N25" s="2"/>
      <x:c r="O25" s="2"/>
      <x:c r="P25" s="2"/>
      <x:c r="Q25" s="2"/>
      <x:c r="R25" s="2"/>
    </x:row>
    <x:row r="26" ht="34" customHeight="1">
      <x:c r="A26" s="6" t="str">
        <x:v>Edition</x:v>
      </x:c>
      <x:c r="B26" s="6" t="str">
        <x:v>Overall projects</x:v>
      </x:c>
      <x:c r="C26" s="6" t="str">
        <x:v>Supplementary</x:v>
      </x:c>
      <x:c r="D26" s="2"/>
      <x:c r="E26" s="2"/>
      <x:c r="F26" s="2"/>
      <x:c r="G26" s="2"/>
      <x:c r="H26" s="2"/>
      <x:c r="I26" s="2"/>
      <x:c r="J26" s="2"/>
      <x:c r="K26" s="2"/>
      <x:c r="L26" s="2"/>
      <x:c r="M26" s="2"/>
      <x:c r="N26" s="2"/>
      <x:c r="O26" s="2"/>
      <x:c r="P26" s="2"/>
      <x:c r="Q26" s="2"/>
      <x:c r="R26" s="2"/>
    </x:row>
    <x:row r="27">
      <x:c r="A27" s="2" t="n">
        <x:v>2017</x:v>
      </x:c>
      <x:c r="B27" s="2" t="n">
        <x:f>COUNTIFS('Projects'!$B$2:$B$37,$A27,'Projects'!$C$2:$C$37,"overall")</x:f>
        <x:v>3</x:v>
      </x:c>
      <x:c r="C27" s="2" t="n">
        <x:f>COUNTIFS('Projects'!$B$2:$B$37,$A27,'Projects'!$C$2:$C$37,"supplementary")</x:f>
        <x:v>0</x:v>
      </x:c>
      <x:c r="D27" s="2"/>
      <x:c r="E27" s="2"/>
      <x:c r="F27" s="2"/>
      <x:c r="G27" s="2"/>
      <x:c r="H27" s="2"/>
      <x:c r="I27" s="2"/>
      <x:c r="J27" s="2"/>
      <x:c r="K27" s="2"/>
      <x:c r="L27" s="2"/>
      <x:c r="M27" s="2"/>
      <x:c r="N27" s="2"/>
      <x:c r="O27" s="2"/>
      <x:c r="P27" s="2"/>
      <x:c r="Q27" s="2"/>
      <x:c r="R27" s="2"/>
    </x:row>
    <x:row r="28">
      <x:c r="A28" s="2" t="n">
        <x:v>2018</x:v>
      </x:c>
      <x:c r="B28" s="2" t="n">
        <x:f>COUNTIFS('Projects'!$B$2:$B$37,$A28,'Projects'!$C$2:$C$37,"overall")</x:f>
        <x:v>4</x:v>
      </x:c>
      <x:c r="C28" s="2" t="n">
        <x:f>COUNTIFS('Projects'!$B$2:$B$37,$A28,'Projects'!$C$2:$C$37,"supplementary")</x:f>
        <x:v>0</x:v>
      </x:c>
      <x:c r="D28" s="2"/>
      <x:c r="E28" s="2"/>
      <x:c r="F28" s="2"/>
      <x:c r="G28" s="2"/>
      <x:c r="H28" s="2"/>
      <x:c r="I28" s="2"/>
      <x:c r="J28" s="2"/>
      <x:c r="K28" s="2"/>
      <x:c r="L28" s="2"/>
      <x:c r="M28" s="2"/>
      <x:c r="N28" s="2"/>
      <x:c r="O28" s="2"/>
      <x:c r="P28" s="2"/>
      <x:c r="Q28" s="2"/>
      <x:c r="R28" s="2"/>
    </x:row>
    <x:row r="29">
      <x:c r="A29" s="2" t="n">
        <x:v>2019</x:v>
      </x:c>
      <x:c r="B29" s="2" t="n">
        <x:f>COUNTIFS('Projects'!$B$2:$B$37,$A29,'Projects'!$C$2:$C$37,"overall")</x:f>
        <x:v>3</x:v>
      </x:c>
      <x:c r="C29" s="2" t="n">
        <x:f>COUNTIFS('Projects'!$B$2:$B$37,$A29,'Projects'!$C$2:$C$37,"supplementary")</x:f>
        <x:v>0</x:v>
      </x:c>
      <x:c r="D29" s="2"/>
      <x:c r="E29" s="2"/>
      <x:c r="F29" s="2"/>
      <x:c r="G29" s="2"/>
      <x:c r="H29" s="2"/>
      <x:c r="I29" s="2"/>
      <x:c r="J29" s="2"/>
      <x:c r="K29" s="2"/>
      <x:c r="L29" s="2"/>
      <x:c r="M29" s="2"/>
      <x:c r="N29" s="2"/>
      <x:c r="O29" s="2"/>
      <x:c r="P29" s="2"/>
      <x:c r="Q29" s="2"/>
      <x:c r="R29" s="2"/>
    </x:row>
    <x:row r="30">
      <x:c r="A30" s="2" t="n">
        <x:v>2020</x:v>
      </x:c>
      <x:c r="B30" s="2" t="n">
        <x:f>COUNTIFS('Projects'!$B$2:$B$37,$A30,'Projects'!$C$2:$C$37,"overall")</x:f>
        <x:v>3</x:v>
      </x:c>
      <x:c r="C30" s="2" t="n">
        <x:f>COUNTIFS('Projects'!$B$2:$B$37,$A30,'Projects'!$C$2:$C$37,"supplementary")</x:f>
        <x:v>0</x:v>
      </x:c>
      <x:c r="D30" s="2"/>
      <x:c r="E30" s="2"/>
      <x:c r="F30" s="2"/>
      <x:c r="G30" s="2"/>
      <x:c r="H30" s="2"/>
      <x:c r="I30" s="2"/>
      <x:c r="J30" s="2"/>
      <x:c r="K30" s="2"/>
      <x:c r="L30" s="2"/>
      <x:c r="M30" s="2"/>
      <x:c r="N30" s="2"/>
      <x:c r="O30" s="2"/>
      <x:c r="P30" s="2"/>
      <x:c r="Q30" s="2"/>
      <x:c r="R30" s="2"/>
    </x:row>
    <x:row r="31">
      <x:c r="A31" s="2" t="n">
        <x:v>2021</x:v>
      </x:c>
      <x:c r="B31" s="2" t="n">
        <x:f>COUNTIFS('Projects'!$B$2:$B$37,$A31,'Projects'!$C$2:$C$37,"overall")</x:f>
        <x:v>3</x:v>
      </x:c>
      <x:c r="C31" s="2" t="n">
        <x:f>COUNTIFS('Projects'!$B$2:$B$37,$A31,'Projects'!$C$2:$C$37,"supplementary")</x:f>
        <x:v>0</x:v>
      </x:c>
      <x:c r="D31" s="2"/>
      <x:c r="E31" s="2"/>
      <x:c r="F31" s="2"/>
      <x:c r="G31" s="2"/>
      <x:c r="H31" s="2"/>
      <x:c r="I31" s="2"/>
      <x:c r="J31" s="2"/>
      <x:c r="K31" s="2"/>
      <x:c r="L31" s="2"/>
      <x:c r="M31" s="2"/>
      <x:c r="N31" s="2"/>
      <x:c r="O31" s="2"/>
      <x:c r="P31" s="2"/>
      <x:c r="Q31" s="2"/>
      <x:c r="R31" s="2"/>
    </x:row>
    <x:row r="32">
      <x:c r="A32" s="2" t="n">
        <x:v>2022</x:v>
      </x:c>
      <x:c r="B32" s="2" t="n">
        <x:f>COUNTIFS('Projects'!$B$2:$B$37,$A32,'Projects'!$C$2:$C$37,"overall")</x:f>
        <x:v>6</x:v>
      </x:c>
      <x:c r="C32" s="2" t="n">
        <x:f>COUNTIFS('Projects'!$B$2:$B$37,$A32,'Projects'!$C$2:$C$37,"supplementary")</x:f>
        <x:v>0</x:v>
      </x:c>
      <x:c r="D32" s="2"/>
      <x:c r="E32" s="2"/>
      <x:c r="F32" s="2"/>
      <x:c r="G32" s="2"/>
      <x:c r="H32" s="2"/>
      <x:c r="I32" s="2"/>
      <x:c r="J32" s="2"/>
      <x:c r="K32" s="2"/>
      <x:c r="L32" s="2"/>
      <x:c r="M32" s="2"/>
      <x:c r="N32" s="2"/>
      <x:c r="O32" s="2"/>
      <x:c r="P32" s="2"/>
      <x:c r="Q32" s="2"/>
      <x:c r="R32" s="2"/>
    </x:row>
    <x:row r="33">
      <x:c r="A33" s="2" t="n">
        <x:v>2023</x:v>
      </x:c>
      <x:c r="B33" s="2" t="n">
        <x:f>COUNTIFS('Projects'!$B$2:$B$37,$A33,'Projects'!$C$2:$C$37,"overall")</x:f>
        <x:v>3</x:v>
      </x:c>
      <x:c r="C33" s="2" t="n">
        <x:f>COUNTIFS('Projects'!$B$2:$B$37,$A33,'Projects'!$C$2:$C$37,"supplementary")</x:f>
        <x:v>0</x:v>
      </x:c>
      <x:c r="D33" s="2"/>
      <x:c r="E33" s="2"/>
      <x:c r="F33" s="2"/>
      <x:c r="G33" s="2"/>
      <x:c r="H33" s="2"/>
      <x:c r="I33" s="2"/>
      <x:c r="J33" s="2"/>
      <x:c r="K33" s="2"/>
      <x:c r="L33" s="2"/>
      <x:c r="M33" s="2"/>
      <x:c r="N33" s="2"/>
      <x:c r="O33" s="2"/>
      <x:c r="P33" s="2"/>
      <x:c r="Q33" s="2"/>
      <x:c r="R33" s="2"/>
    </x:row>
    <x:row r="34">
      <x:c r="A34" s="2" t="n">
        <x:v>2024</x:v>
      </x:c>
      <x:c r="B34" s="2" t="n">
        <x:f>COUNTIFS('Projects'!$B$2:$B$37,$A34,'Projects'!$C$2:$C$37,"overall")</x:f>
        <x:v>3</x:v>
      </x:c>
      <x:c r="C34" s="2" t="n">
        <x:f>COUNTIFS('Projects'!$B$2:$B$37,$A34,'Projects'!$C$2:$C$37,"supplementary")</x:f>
        <x:v>0</x:v>
      </x:c>
      <x:c r="D34" s="2"/>
      <x:c r="E34" s="2"/>
      <x:c r="F34" s="2"/>
      <x:c r="G34" s="2"/>
      <x:c r="H34" s="2"/>
      <x:c r="I34" s="2"/>
      <x:c r="J34" s="2"/>
      <x:c r="K34" s="2"/>
      <x:c r="L34" s="2"/>
      <x:c r="M34" s="2"/>
      <x:c r="N34" s="2"/>
      <x:c r="O34" s="2"/>
      <x:c r="P34" s="2"/>
      <x:c r="Q34" s="2"/>
      <x:c r="R34" s="2"/>
    </x:row>
    <x:row r="35">
      <x:c r="A35" s="2" t="n">
        <x:v>2025</x:v>
      </x:c>
      <x:c r="B35" s="2" t="n">
        <x:f>COUNTIFS('Projects'!$B$2:$B$37,$A35,'Projects'!$C$2:$C$37,"overall")</x:f>
        <x:v>3</x:v>
      </x:c>
      <x:c r="C35" s="2" t="n">
        <x:f>COUNTIFS('Projects'!$B$2:$B$37,$A35,'Projects'!$C$2:$C$37,"supplementary")</x:f>
        <x:v>5</x:v>
      </x:c>
      <x:c r="D35" s="2"/>
      <x:c r="E35" s="2"/>
      <x:c r="F35" s="2"/>
      <x:c r="G35" s="2"/>
      <x:c r="H35" s="2"/>
      <x:c r="I35" s="2"/>
      <x:c r="J35" s="2"/>
      <x:c r="K35" s="2"/>
      <x:c r="L35" s="2"/>
      <x:c r="M35" s="2"/>
      <x:c r="N35" s="2"/>
      <x:c r="O35" s="2"/>
      <x:c r="P35" s="2"/>
      <x:c r="Q35" s="2"/>
      <x:c r="R35" s="2"/>
    </x:row>
    <x:row r="36">
      <x:c r="A36" s="2"/>
      <x:c r="B36" s="2"/>
      <x:c r="C36" s="2"/>
      <x:c r="D36" s="2"/>
      <x:c r="E36" s="2"/>
      <x:c r="F36" s="2"/>
      <x:c r="G36" s="2"/>
      <x:c r="H36" s="2"/>
      <x:c r="I36" s="2"/>
      <x:c r="J36" s="2"/>
      <x:c r="K36" s="2"/>
      <x:c r="L36" s="2"/>
      <x:c r="M36" s="2"/>
      <x:c r="N36" s="2"/>
      <x:c r="O36" s="2"/>
      <x:c r="P36" s="2"/>
      <x:c r="Q36" s="2"/>
      <x:c r="R36" s="2"/>
    </x:row>
    <x:row r="37">
      <x:c r="A37" s="2"/>
      <x:c r="B37" s="2"/>
      <x:c r="C37" s="2"/>
      <x:c r="D37" s="2"/>
      <x:c r="E37" s="2"/>
      <x:c r="F37" s="2"/>
      <x:c r="G37" s="2"/>
      <x:c r="H37" s="2"/>
      <x:c r="I37" s="2"/>
      <x:c r="J37" s="2"/>
      <x:c r="K37" s="2"/>
      <x:c r="L37" s="2"/>
      <x:c r="M37" s="2"/>
      <x:c r="N37" s="2"/>
      <x:c r="O37" s="2"/>
      <x:c r="P37" s="2"/>
      <x:c r="Q37" s="2"/>
      <x:c r="R37" s="2"/>
    </x:row>
    <x:row r="38">
      <x:c r="A38" s="2"/>
      <x:c r="B38" s="2"/>
      <x:c r="C38" s="2"/>
      <x:c r="D38" s="2"/>
      <x:c r="E38" s="2"/>
      <x:c r="F38" s="2"/>
      <x:c r="G38" s="2"/>
      <x:c r="H38" s="2"/>
      <x:c r="I38" s="2"/>
      <x:c r="J38" s="2"/>
      <x:c r="K38" s="2"/>
      <x:c r="L38" s="2"/>
      <x:c r="M38" s="2"/>
      <x:c r="N38" s="2"/>
      <x:c r="O38" s="2"/>
      <x:c r="P38" s="2"/>
      <x:c r="Q38" s="2"/>
      <x:c r="R38" s="2"/>
    </x:row>
    <x:row r="39">
      <x:c r="A39" s="2"/>
      <x:c r="B39" s="2"/>
      <x:c r="C39" s="2"/>
      <x:c r="D39" s="2"/>
      <x:c r="E39" s="2"/>
      <x:c r="F39" s="2"/>
      <x:c r="G39" s="2"/>
      <x:c r="H39" s="2"/>
      <x:c r="I39" s="2"/>
      <x:c r="J39" s="2"/>
      <x:c r="K39" s="2"/>
      <x:c r="L39" s="2"/>
      <x:c r="M39" s="2"/>
      <x:c r="N39" s="2"/>
      <x:c r="O39" s="2"/>
      <x:c r="P39" s="2"/>
      <x:c r="Q39" s="2"/>
      <x:c r="R39" s="2"/>
    </x:row>
    <x:row r="40">
      <x:c r="A40" s="2"/>
      <x:c r="B40" s="2"/>
      <x:c r="C40" s="2"/>
      <x:c r="D40" s="2"/>
      <x:c r="E40" s="2"/>
      <x:c r="F40" s="2"/>
      <x:c r="G40" s="2"/>
      <x:c r="H40" s="2"/>
      <x:c r="I40" s="2"/>
      <x:c r="J40" s="2"/>
      <x:c r="K40" s="2"/>
      <x:c r="L40" s="2"/>
      <x:c r="M40" s="2"/>
      <x:c r="N40" s="2"/>
      <x:c r="O40" s="2"/>
      <x:c r="P40" s="2"/>
      <x:c r="Q40" s="2"/>
      <x:c r="R40" s="2"/>
    </x:row>
    <x:row r="41">
      <x:c r="A41" s="2"/>
      <x:c r="B41" s="2"/>
      <x:c r="C41" s="2"/>
      <x:c r="D41" s="2"/>
      <x:c r="E41" s="2"/>
      <x:c r="F41" s="2"/>
      <x:c r="G41" s="2"/>
      <x:c r="H41" s="2"/>
      <x:c r="I41" s="2"/>
      <x:c r="J41" s="2"/>
      <x:c r="K41" s="2"/>
      <x:c r="L41" s="2"/>
      <x:c r="M41" s="2"/>
      <x:c r="N41" s="2"/>
      <x:c r="O41" s="2"/>
      <x:c r="P41" s="2"/>
      <x:c r="Q41" s="2"/>
      <x:c r="R41" s="2"/>
    </x:row>
    <x:row r="42">
      <x:c r="A42" s="2"/>
      <x:c r="B42" s="2"/>
      <x:c r="C42" s="2"/>
      <x:c r="D42" s="2"/>
      <x:c r="E42" s="2"/>
      <x:c r="F42" s="2"/>
      <x:c r="G42" s="2"/>
      <x:c r="H42" s="2"/>
      <x:c r="I42" s="2"/>
      <x:c r="J42" s="2"/>
      <x:c r="K42" s="2"/>
      <x:c r="L42" s="2"/>
      <x:c r="M42" s="2"/>
      <x:c r="N42" s="2"/>
      <x:c r="O42" s="2"/>
      <x:c r="P42" s="2"/>
      <x:c r="Q42" s="2"/>
      <x:c r="R42" s="2"/>
    </x:row>
  </x:sheetData>
  <x:pageMargins left="0.7" right="0.7" top="0.75" bottom="0.75" header="0.3" footer="0.3"/>
  <x:drawing xmlns:r="http://schemas.openxmlformats.org/officeDocument/2006/relationships" r:id="R734573d7219744e4"/>
</x:worksheet>
</file>

<file path=xl/worksheets/sheet2.xml><?xml version="1.0" encoding="utf-8"?>
<x:worksheet xmlns:x="http://schemas.openxmlformats.org/spreadsheetml/2006/main">
  <x:sheetViews>
    <x:sheetView showGridLines="0" workbookViewId="0">
      <x:pane xSplit="4" ySplit="1" topLeftCell="E2" activePane="bottomRight" state="frozen"/>
    </x:sheetView>
  </x:sheetViews>
  <x:sheetFormatPr defaultRowHeight="15"/>
  <x:cols>
    <x:col min="1" max="1" width="8" hidden="0" customWidth="1"/>
    <x:col min="2" max="2" width="8" hidden="0" customWidth="1"/>
    <x:col min="3" max="3" width="16" hidden="0" customWidth="1"/>
    <x:col min="4" max="4" width="34" hidden="0" customWidth="1"/>
    <x:col min="5" max="5" width="14" hidden="0" customWidth="1"/>
    <x:col min="6" max="6" width="12" hidden="0" customWidth="1"/>
    <x:col min="7" max="7" width="38" hidden="0" customWidth="1"/>
    <x:col min="8" max="8" width="46" hidden="0" customWidth="1"/>
    <x:col min="9" max="9" width="52" hidden="0" customWidth="1"/>
    <x:col min="10" max="10" width="40" hidden="0" customWidth="1"/>
    <x:col min="11" max="11" width="20" hidden="0" customWidth="1"/>
    <x:col min="12" max="12" width="20" hidden="0" customWidth="1"/>
    <x:col min="13" max="13" width="20" hidden="0" customWidth="1"/>
    <x:col min="14" max="14" width="21" hidden="0" customWidth="1"/>
    <x:col min="15" max="15" width="20" hidden="0" customWidth="1"/>
    <x:col min="16" max="16" width="20" hidden="0" customWidth="1"/>
    <x:col min="17" max="17" width="20" hidden="0" customWidth="1"/>
    <x:col min="18" max="18" width="21" hidden="0" customWidth="1"/>
    <x:col min="19" max="19" width="62" hidden="0" customWidth="1"/>
    <x:col min="20" max="20" width="62" hidden="0" customWidth="1"/>
    <x:col min="21" max="21" width="64" hidden="0" customWidth="1"/>
    <x:col min="22" max="22" width="14" hidden="0" customWidth="1"/>
  </x:cols>
  <x:sheetData>
    <x:row r="1" ht="34" customHeight="1">
      <x:c r="A1" s="6" t="str">
        <x:v>ID</x:v>
      </x:c>
      <x:c r="B1" s="6" t="str">
        <x:v>Year</x:v>
      </x:c>
      <x:c r="C1" s="6" t="str">
        <x:v>Cohort</x:v>
      </x:c>
      <x:c r="D1" s="6" t="str">
        <x:v>Project</x:v>
      </x:c>
      <x:c r="E1" s="6" t="str">
        <x:v>Division</x:v>
      </x:c>
      <x:c r="F1" s="6" t="str">
        <x:v>Rank recorded</x:v>
      </x:c>
      <x:c r="G1" s="6" t="str">
        <x:v>Exact award labels</x:v>
      </x:c>
      <x:c r="H1" s="6" t="str">
        <x:v>Target user / problem</x:v>
      </x:c>
      <x:c r="I1" s="6" t="str">
        <x:v>Described workflow</x:v>
      </x:c>
      <x:c r="J1" s="6" t="str">
        <x:v>Technologies</x:v>
      </x:c>
      <x:c r="K1" s="6" t="str">
        <x:v>concrete_task</x:v>
      </x:c>
      <x:c r="L1" s="6" t="str">
        <x:v>described_workflow</x:v>
      </x:c>
      <x:c r="M1" s="6" t="str">
        <x:v>visual_demo_interface</x:v>
      </x:c>
      <x:c r="N1" s="6" t="str">
        <x:v>external_api_service</x:v>
      </x:c>
      <x:c r="O1" s="6" t="str">
        <x:v>social_benefit</x:v>
      </x:c>
      <x:c r="P1" s="6" t="str">
        <x:v>hardware</x:v>
      </x:c>
      <x:c r="Q1" s="6" t="str">
        <x:v>ai_ml</x:v>
      </x:c>
      <x:c r="R1" s="6" t="str">
        <x:v>accessibility_inclusion</x:v>
      </x:c>
      <x:c r="S1" s="6" t="str">
        <x:v>Evidence notes</x:v>
      </x:c>
      <x:c r="T1" s="6" t="str">
        <x:v>Limitations</x:v>
      </x:c>
      <x:c r="U1" s="6" t="str">
        <x:v>Primary source URL</x:v>
      </x:c>
      <x:c r="V1" s="6" t="str">
        <x:v>Access date</x:v>
      </x:c>
    </x:row>
    <x:row r="2" ht="46" customHeight="1">
      <x:c r="A2" s="8" t="str">
        <x:v>P01</x:v>
      </x:c>
      <x:c r="B2" s="9" t="n">
        <x:v>2017</x:v>
      </x:c>
      <x:c r="C2" s="8" t="str">
        <x:v>overall</x:v>
      </x:c>
      <x:c r="D2" s="8" t="str">
        <x:v>Rent-A-Plug</x:v>
      </x:c>
      <x:c r="E2" s="8" t="str">
        <x:v>overall</x:v>
      </x:c>
      <x:c r="F2" s="9" t="n">
        <x:v>1</x:v>
      </x:c>
      <x:c r="G2" s="8" t="str">
        <x:v>1st Place</x:v>
      </x:c>
      <x:c r="H2" s="8" t="str">
        <x:v>People or machines buying short intervals of electricity</x:v>
      </x:c>
      <x:c r="I2" s="8" t="str">
        <x:v>Cryptocurrency payment activates a timed physical power outlet.</x:v>
      </x:c>
      <x:c r="J2" s="8" t="str">
        <x:v>Ethereum; Solidity; Raspberry Pi; JavaScript; relay</x:v>
      </x:c>
      <x:c r="K2" s="8" t="str">
        <x:v>yes</x:v>
      </x:c>
      <x:c r="L2" s="8" t="str">
        <x:v>yes</x:v>
      </x:c>
      <x:c r="M2" s="8" t="str">
        <x:v>yes</x:v>
      </x:c>
      <x:c r="N2" s="8" t="str">
        <x:v>not_established</x:v>
      </x:c>
      <x:c r="O2" s="8" t="str">
        <x:v>not_established</x:v>
      </x:c>
      <x:c r="P2" s="8" t="str">
        <x:v>yes</x:v>
      </x:c>
      <x:c r="Q2" s="8" t="str">
        <x:v>not_established</x:v>
      </x:c>
      <x:c r="R2" s="8" t="str">
        <x:v>not_established</x:v>
      </x:c>
      <x:c r="S2" s="8" t="str">
        <x:v>Private Ethereum test network and Raspberry Pi GPIO/Web3 integration; local software APIs do not establish an external hosted service.</x:v>
      </x:c>
      <x:c r="T2" s="8" t="str">
        <x:v>Capability descriptions are participant reports and were not independently tested.</x:v>
      </x:c>
      <x:c r="U2" s="11" t="str">
        <x:v>https://devpost.com/software/rent-a-plug</x:v>
      </x:c>
      <x:c r="V2" s="10" t="n">
        <x:v>46290.5</x:v>
      </x:c>
    </x:row>
    <x:row r="3" ht="46" customHeight="1">
      <x:c r="A3" s="8" t="str">
        <x:v>P02</x:v>
      </x:c>
      <x:c r="B3" s="9" t="n">
        <x:v>2017</x:v>
      </x:c>
      <x:c r="C3" s="8" t="str">
        <x:v>overall</x:v>
      </x:c>
      <x:c r="D3" s="8" t="str">
        <x:v>Pocket Park</x:v>
      </x:c>
      <x:c r="E3" s="8" t="str">
        <x:v>overall</x:v>
      </x:c>
      <x:c r="F3" s="9" t="n">
        <x:v>2</x:v>
      </x:c>
      <x:c r="G3" s="8" t="str">
        <x:v>2nd Place
The ShellHack</x:v>
      </x:c>
      <x:c r="H3" s="8" t="str">
        <x:v>Miami drivers and owners of unused parking</x:v>
      </x:c>
      <x:c r="I3" s="8" t="str">
        <x:v>Hosts list spaces and prices; drivers choose a map location and reserve parking.</x:v>
      </x:c>
      <x:c r="J3" s="8" t="str">
        <x:v>React; Redux; Node.js; Express; MongoDB; Google Maps</x:v>
      </x:c>
      <x:c r="K3" s="8" t="str">
        <x:v>yes</x:v>
      </x:c>
      <x:c r="L3" s="8" t="str">
        <x:v>yes</x:v>
      </x:c>
      <x:c r="M3" s="8" t="str">
        <x:v>yes</x:v>
      </x:c>
      <x:c r="N3" s="8" t="str">
        <x:v>yes</x:v>
      </x:c>
      <x:c r="O3" s="8" t="str">
        <x:v>yes</x:v>
      </x:c>
      <x:c r="P3" s="8" t="str">
        <x:v>not_established</x:v>
      </x:c>
      <x:c r="Q3" s="8" t="str">
        <x:v>not_established</x:v>
      </x:c>
      <x:c r="R3" s="8" t="str">
        <x:v>not_established</x:v>
      </x:c>
      <x:c r="S3" s="8" t="str">
        <x:v>Names local parking costs and unused spaces; describes an API-connected map and payment workflow. No adoption outcome reported.</x:v>
      </x:c>
      <x:c r="T3" s="8" t="str">
        <x:v>Capability descriptions are participant reports and were not independently tested.</x:v>
      </x:c>
      <x:c r="U3" s="11" t="str">
        <x:v>https://devpost.com/software/pocket-park</x:v>
      </x:c>
      <x:c r="V3" s="10" t="n">
        <x:v>46290.5</x:v>
      </x:c>
    </x:row>
    <x:row r="4" ht="46" customHeight="1">
      <x:c r="A4" s="8" t="str">
        <x:v>P03</x:v>
      </x:c>
      <x:c r="B4" s="9" t="n">
        <x:v>2017</x:v>
      </x:c>
      <x:c r="C4" s="8" t="str">
        <x:v>overall</x:v>
      </x:c>
      <x:c r="D4" s="8" t="str">
        <x:v>Mic Drop</x:v>
      </x:c>
      <x:c r="E4" s="8" t="str">
        <x:v>overall</x:v>
      </x:c>
      <x:c r="F4" s="9" t="n">
        <x:v>3</x:v>
      </x:c>
      <x:c r="G4" s="8" t="str">
        <x:v>3rd Place</x:v>
      </x:c>
      <x:c r="H4" s="8" t="str">
        <x:v>Presenters sharing a venue speaker system</x:v>
      </x:c>
      <x:c r="I4" s="8" t="str">
        <x:v>An Android phone streams microphone audio through a socket to a host computer.</x:v>
      </x:c>
      <x:c r="J4" s="8" t="str">
        <x:v>Java; Android Studio; sockets</x:v>
      </x:c>
      <x:c r="K4" s="8" t="str">
        <x:v>yes</x:v>
      </x:c>
      <x:c r="L4" s="8" t="str">
        <x:v>yes</x:v>
      </x:c>
      <x:c r="M4" s="8" t="str">
        <x:v>yes</x:v>
      </x:c>
      <x:c r="N4" s="8" t="str">
        <x:v>not_established</x:v>
      </x:c>
      <x:c r="O4" s="8" t="str">
        <x:v>not_established</x:v>
      </x:c>
      <x:c r="P4" s="8" t="str">
        <x:v>not_established</x:v>
      </x:c>
      <x:c r="Q4" s="8" t="str">
        <x:v>not_established</x:v>
      </x:c>
      <x:c r="R4" s="8" t="str">
        <x:v>not_established</x:v>
      </x:c>
      <x:c r="S4" s="8" t="str">
        <x:v>Team reports working phone-to-speaker audio; multi-instance hosting, authentication and noise reduction remain future work.</x:v>
      </x:c>
      <x:c r="T4" s="8" t="str">
        <x:v>Capability descriptions are participant reports and were not independently tested.</x:v>
      </x:c>
      <x:c r="U4" s="11" t="str">
        <x:v>https://devpost.com/software/mic-drop-8a41o3</x:v>
      </x:c>
      <x:c r="V4" s="10" t="n">
        <x:v>46290.5</x:v>
      </x:c>
    </x:row>
    <x:row r="5" ht="46" customHeight="1">
      <x:c r="A5" s="8" t="str">
        <x:v>P04</x:v>
      </x:c>
      <x:c r="B5" s="9" t="n">
        <x:v>2018</x:v>
      </x:c>
      <x:c r="C5" s="8" t="str">
        <x:v>overall</x:v>
      </x:c>
      <x:c r="D5" s="8" t="str">
        <x:v>HurriHome</x:v>
      </x:c>
      <x:c r="E5" s="8" t="str">
        <x:v>overall</x:v>
      </x:c>
      <x:c r="F5" s="9" t="n">
        <x:v>1</x:v>
      </x:c>
      <x:c r="G5" s="8" t="str">
        <x:v>First Place
GE Digital Web Optimization Challenge</x:v>
      </x:c>
      <x:c r="H5" s="8" t="str">
        <x:v>Evacuated homeowners and disaster response groups</x:v>
      </x:c>
      <x:c r="I5" s="8" t="str">
        <x:v>Home sensors send status to a cloud platform, mobile app and neighborhood map.</x:v>
      </x:c>
      <x:c r="J5" s="8" t="str">
        <x:v>Arduino; Ionic; Python; Firebase; Heroku; Wix; Google Maps</x:v>
      </x:c>
      <x:c r="K5" s="8" t="str">
        <x:v>yes</x:v>
      </x:c>
      <x:c r="L5" s="8" t="str">
        <x:v>yes</x:v>
      </x:c>
      <x:c r="M5" s="8" t="str">
        <x:v>yes</x:v>
      </x:c>
      <x:c r="N5" s="8" t="str">
        <x:v>yes</x:v>
      </x:c>
      <x:c r="O5" s="8" t="str">
        <x:v>yes</x:v>
      </x:c>
      <x:c r="P5" s="8" t="str">
        <x:v>yes</x:v>
      </x:c>
      <x:c r="Q5" s="8" t="str">
        <x:v>not_established</x:v>
      </x:c>
      <x:c r="R5" s="8" t="str">
        <x:v>not_established</x:v>
      </x:c>
      <x:c r="S5" s="8" t="str">
        <x:v>Team tested paper wireframes with attendees and prioritized essential functions; connectivity and backup power were unresolved tradeoffs.</x:v>
      </x:c>
      <x:c r="T5" s="8" t="str">
        <x:v>Capability descriptions are participant reports and were not independently tested.</x:v>
      </x:c>
      <x:c r="U5" s="11" t="str">
        <x:v>https://devpost.com/software/hurrihome</x:v>
      </x:c>
      <x:c r="V5" s="10" t="n">
        <x:v>46290.5</x:v>
      </x:c>
    </x:row>
    <x:row r="6" ht="46" customHeight="1">
      <x:c r="A6" s="8" t="str">
        <x:v>P05</x:v>
      </x:c>
      <x:c r="B6" s="9" t="n">
        <x:v>2018</x:v>
      </x:c>
      <x:c r="C6" s="8" t="str">
        <x:v>overall</x:v>
      </x:c>
      <x:c r="D6" s="8" t="str">
        <x:v>Speak Free</x:v>
      </x:c>
      <x:c r="E6" s="8" t="str">
        <x:v>overall</x:v>
      </x:c>
      <x:c r="F6" s="9" t="n">
        <x:v>2</x:v>
      </x:c>
      <x:c r="G6" s="8" t="str">
        <x:v>Second Place</x:v>
      </x:c>
      <x:c r="H6" s="8" t="str">
        <x:v>People practising public speaking</x:v>
      </x:c>
      <x:c r="I6" s="8" t="str">
        <x:v>A virtual audience reacts while the user rehearses a speech.</x:v>
      </x:c>
      <x:c r="J6" s="8" t="str">
        <x:v>Unity; C#; Wix</x:v>
      </x:c>
      <x:c r="K6" s="8" t="str">
        <x:v>yes</x:v>
      </x:c>
      <x:c r="L6" s="8" t="str">
        <x:v>yes</x:v>
      </x:c>
      <x:c r="M6" s="8" t="str">
        <x:v>yes</x:v>
      </x:c>
      <x:c r="N6" s="8" t="str">
        <x:v>yes</x:v>
      </x:c>
      <x:c r="O6" s="8" t="str">
        <x:v>yes</x:v>
      </x:c>
      <x:c r="P6" s="8" t="str">
        <x:v>yes</x:v>
      </x:c>
      <x:c r="Q6" s="8" t="str">
        <x:v>not_established</x:v>
      </x:c>
      <x:c r="R6" s="8" t="str">
        <x:v>yes</x:v>
      </x:c>
      <x:c r="S6" s="8" t="str">
        <x:v>VR practice and companion Wix site are described; machine-learning speech analysis is a stretch goal. Claimed confidence benefits are unvalidated.</x:v>
      </x:c>
      <x:c r="T6" s="8" t="str">
        <x:v>Capability descriptions are participant reports and were not independently tested.</x:v>
      </x:c>
      <x:c r="U6" s="11" t="str">
        <x:v>https://devpost.com/software/speak-free</x:v>
      </x:c>
      <x:c r="V6" s="10" t="n">
        <x:v>46290.5</x:v>
      </x:c>
    </x:row>
    <x:row r="7" ht="46" customHeight="1">
      <x:c r="A7" s="8" t="str">
        <x:v>P06</x:v>
      </x:c>
      <x:c r="B7" s="9" t="n">
        <x:v>2018</x:v>
      </x:c>
      <x:c r="C7" s="8" t="str">
        <x:v>overall</x:v>
      </x:c>
      <x:c r="D7" s="8" t="str">
        <x:v>JAM</x:v>
      </x:c>
      <x:c r="E7" s="8" t="str">
        <x:v>overall</x:v>
      </x:c>
      <x:c r="F7" s="9" t="n">
        <x:v>3</x:v>
      </x:c>
      <x:c r="G7" s="8" t="str">
        <x:v>Third Place</x:v>
      </x:c>
      <x:c r="H7" s="8" t="str">
        <x:v>Job seekers tracking multiple applications</x:v>
      </x:c>
      <x:c r="I7" s="8" t="str">
        <x:v>Dashboard compares application stage, location and compensation.</x:v>
      </x:c>
      <x:c r="J7" s="8" t="str">
        <x:v>Wix database; Wix Code; React; JavaScript</x:v>
      </x:c>
      <x:c r="K7" s="8" t="str">
        <x:v>yes</x:v>
      </x:c>
      <x:c r="L7" s="8" t="str">
        <x:v>yes</x:v>
      </x:c>
      <x:c r="M7" s="8" t="str">
        <x:v>yes</x:v>
      </x:c>
      <x:c r="N7" s="8" t="str">
        <x:v>yes</x:v>
      </x:c>
      <x:c r="O7" s="8" t="str">
        <x:v>not_established</x:v>
      </x:c>
      <x:c r="P7" s="8" t="str">
        <x:v>not_established</x:v>
      </x:c>
      <x:c r="Q7" s="8" t="str">
        <x:v>not_established</x:v>
      </x:c>
      <x:c r="R7" s="8" t="str">
        <x:v>not_established</x:v>
      </x:c>
      <x:c r="S7" s="8" t="str">
        <x:v>Describes application tracking and external APIs; college-application management is future work. Award verified by direct HTML retrieval.</x:v>
      </x:c>
      <x:c r="T7" s="8" t="str">
        <x:v>Capability descriptions are participant reports and were not independently tested.</x:v>
      </x:c>
      <x:c r="U7" s="11" t="str">
        <x:v>https://devpost.com/software/jam-83i15d</x:v>
      </x:c>
      <x:c r="V7" s="10" t="n">
        <x:v>46290.5</x:v>
      </x:c>
    </x:row>
    <x:row r="8" ht="46" customHeight="1">
      <x:c r="A8" s="8" t="str">
        <x:v>P07</x:v>
      </x:c>
      <x:c r="B8" s="9" t="n">
        <x:v>2018</x:v>
      </x:c>
      <x:c r="C8" s="8" t="str">
        <x:v>overall</x:v>
      </x:c>
      <x:c r="D8" s="8" t="str">
        <x:v>Remote Game Sharer</x:v>
      </x:c>
      <x:c r="E8" s="8" t="str">
        <x:v>overall</x:v>
      </x:c>
      <x:c r="F8" s="9" t="n">
        <x:v>3</x:v>
      </x:c>
      <x:c r="G8" s="8" t="str">
        <x:v>Third Place</x:v>
      </x:c>
      <x:c r="H8" s="8" t="str">
        <x:v>Players sharing access to games remotely</x:v>
      </x:c>
      <x:c r="I8" s="8" t="str">
        <x:v>Client inputs control an emulated controller on a host device.</x:v>
      </x:c>
      <x:c r="J8" s="8" t="str">
        <x:v>C; C++; JavaScript; Node.js</x:v>
      </x:c>
      <x:c r="K8" s="8" t="str">
        <x:v>yes</x:v>
      </x:c>
      <x:c r="L8" s="8" t="str">
        <x:v>yes</x:v>
      </x:c>
      <x:c r="M8" s="8" t="str">
        <x:v>yes</x:v>
      </x:c>
      <x:c r="N8" s="8" t="str">
        <x:v>not_established</x:v>
      </x:c>
      <x:c r="O8" s="8" t="str">
        <x:v>not_established</x:v>
      </x:c>
      <x:c r="P8" s="8" t="str">
        <x:v>not_established</x:v>
      </x:c>
      <x:c r="Q8" s="8" t="str">
        <x:v>not_established</x:v>
      </x:c>
      <x:c r="R8" s="8" t="str">
        <x:v>not_established</x:v>
      </x:c>
      <x:c r="S8" s="8" t="str">
        <x:v>Sparse page describes host controller emulation, links code and a site; does not establish cloud APIs or custom hardware.</x:v>
      </x:c>
      <x:c r="T8" s="8" t="str">
        <x:v>Capability descriptions are participant reports and were not independently tested.</x:v>
      </x:c>
      <x:c r="U8" s="11" t="str">
        <x:v>https://devpost.com/software/sharerhost</x:v>
      </x:c>
      <x:c r="V8" s="10" t="n">
        <x:v>46290.5</x:v>
      </x:c>
    </x:row>
    <x:row r="9" ht="46" customHeight="1">
      <x:c r="A9" s="8" t="str">
        <x:v>P08</x:v>
      </x:c>
      <x:c r="B9" s="9" t="n">
        <x:v>2019</x:v>
      </x:c>
      <x:c r="C9" s="8" t="str">
        <x:v>overall</x:v>
      </x:c>
      <x:c r="D9" s="8" t="str">
        <x:v>Freetear</x:v>
      </x:c>
      <x:c r="E9" s="8" t="str">
        <x:v>overall</x:v>
      </x:c>
      <x:c r="F9" s="9" t="n">
        <x:v>1</x:v>
      </x:c>
      <x:c r="G9" s="8" t="str">
        <x:v>First Place Overall</x:v>
      </x:c>
      <x:c r="H9" s="8" t="str">
        <x:v>Developers lose time configuring deployment, databases and hosting for side projects.</x:v>
      </x:c>
      <x:c r="I9" s="8" t="str">
        <x:v>CLI templates an application and automates connections to free-tier deployment services.</x:v>
      </x:c>
      <x:c r="J9" s="8" t="str">
        <x:v>Node.js; Python; Flask; React; shell; Zeit</x:v>
      </x:c>
      <x:c r="K9" s="8" t="str">
        <x:v>yes</x:v>
      </x:c>
      <x:c r="L9" s="8" t="str">
        <x:v>yes</x:v>
      </x:c>
      <x:c r="M9" s="8" t="str">
        <x:v>yes</x:v>
      </x:c>
      <x:c r="N9" s="8" t="str">
        <x:v>yes</x:v>
      </x:c>
      <x:c r="O9" s="8" t="str">
        <x:v>not_established</x:v>
      </x:c>
      <x:c r="P9" s="8" t="str">
        <x:v>not_established</x:v>
      </x:c>
      <x:c r="Q9" s="8" t="str">
        <x:v>not_established</x:v>
      </x:c>
      <x:c r="R9" s="8" t="str">
        <x:v>not_established</x:v>
      </x:c>
      <x:c r="S9" s="8" t="str">
        <x:v>Describes free-tier service credential automation, an NPM CLI and React/HTML UI work. No explicit AI, inclusion, social-good or hardware component documented.</x:v>
      </x:c>
      <x:c r="T9" s="8" t="str">
        <x:v>No measured deployment-time improvement or independent validation.</x:v>
      </x:c>
      <x:c r="U9" s="11" t="str">
        <x:v>https://devpost.com/software/freetear</x:v>
      </x:c>
      <x:c r="V9" s="10" t="n">
        <x:v>46290.5</x:v>
      </x:c>
    </x:row>
    <x:row r="10" ht="59" customHeight="1">
      <x:c r="A10" s="8" t="str">
        <x:v>P09</x:v>
      </x:c>
      <x:c r="B10" s="9" t="n">
        <x:v>2019</x:v>
      </x:c>
      <x:c r="C10" s="8" t="str">
        <x:v>overall</x:v>
      </x:c>
      <x:c r="D10" s="8" t="str">
        <x:v>No Vote Left Behind</x:v>
      </x:c>
      <x:c r="E10" s="8" t="str">
        <x:v>overall</x:v>
      </x:c>
      <x:c r="F10" s="9" t="n">
        <x:v>2</x:v>
      </x:c>
      <x:c r="G10" s="8" t="str">
        <x:v>Second Place Overall
JP Morgan Chase &amp; Co. - Best Hack for Social Good
Citrix - Most Inclusive Hack</x:v>
      </x:c>
      <x:c r="H10" s="8" t="str">
        <x:v>People with limited time or resources face voter-registration barriers.</x:v>
      </x:c>
      <x:c r="I10" s="8" t="str">
        <x:v>Raspberry Pi generates QR/RFID credentials; a web form fills an official registration PDF and sends it to the relevant jurisdiction.</x:v>
      </x:c>
      <x:c r="J10" s="8" t="str">
        <x:v>Raspberry Pi; RFID/NFC; QR; Azure VM; Flask; MySQL; Python; Interfax; reCAPTCHA</x:v>
      </x:c>
      <x:c r="K10" s="8" t="str">
        <x:v>yes</x:v>
      </x:c>
      <x:c r="L10" s="8" t="str">
        <x:v>yes</x:v>
      </x:c>
      <x:c r="M10" s="8" t="str">
        <x:v>yes</x:v>
      </x:c>
      <x:c r="N10" s="8" t="str">
        <x:v>yes</x:v>
      </x:c>
      <x:c r="O10" s="8" t="str">
        <x:v>yes</x:v>
      </x:c>
      <x:c r="P10" s="8" t="str">
        <x:v>yes</x:v>
      </x:c>
      <x:c r="Q10" s="8" t="str">
        <x:v>not_established</x:v>
      </x:c>
      <x:c r="R10" s="8" t="str">
        <x:v>yes</x:v>
      </x:c>
      <x:c r="S10" s="8" t="str">
        <x:v>Explicit underserved-voter goal, Raspberry Pi circuit and web form; Azure and fax integration described. Machine learning appears only in future plans and is not counted as implemented.</x:v>
      </x:c>
      <x:c r="T10" s="8" t="str">
        <x:v>No independent election-process, security or real registration validation; do not adopt team's security claims as verified.</x:v>
      </x:c>
      <x:c r="U10" s="11" t="str">
        <x:v>https://devpost.com/software/no-vote-left-behind</x:v>
      </x:c>
      <x:c r="V10" s="10" t="n">
        <x:v>46290.5</x:v>
      </x:c>
    </x:row>
    <x:row r="11" ht="46" customHeight="1">
      <x:c r="A11" s="8" t="str">
        <x:v>P10</x:v>
      </x:c>
      <x:c r="B11" s="9" t="n">
        <x:v>2019</x:v>
      </x:c>
      <x:c r="C11" s="8" t="str">
        <x:v>overall</x:v>
      </x:c>
      <x:c r="D11" s="8" t="str">
        <x:v>sock.it</x:v>
      </x:c>
      <x:c r="E11" s="8" t="str">
        <x:v>overall</x:v>
      </x:c>
      <x:c r="F11" s="9" t="n">
        <x:v>3</x:v>
      </x:c>
      <x:c r="G11" s="8" t="str">
        <x:v>Third Place Overall
ShellHacks - Best Hardware Hack</x:v>
      </x:c>
      <x:c r="H11" s="8" t="str">
        <x:v>Caregivers need information about an infant's heart rate, oxygen levels and sleep.</x:v>
      </x:c>
      <x:c r="I11" s="8" t="str">
        <x:v>Senses heart rate and oxygen saturation; the public description stops before explaining the subsequent data flow.</x:v>
      </x:c>
      <x:c r="J11" s="8" t="str">
        <x:v>Arduino; Node.js; Pusher; React; sockets</x:v>
      </x:c>
      <x:c r="K11" s="8" t="str">
        <x:v>yes</x:v>
      </x:c>
      <x:c r="L11" s="8" t="str">
        <x:v>not_established</x:v>
      </x:c>
      <x:c r="M11" s="8" t="str">
        <x:v>not_established</x:v>
      </x:c>
      <x:c r="N11" s="8" t="str">
        <x:v>yes</x:v>
      </x:c>
      <x:c r="O11" s="8" t="str">
        <x:v>yes</x:v>
      </x:c>
      <x:c r="P11" s="8" t="str">
        <x:v>yes</x:v>
      </x:c>
      <x:c r="Q11" s="8" t="str">
        <x:v>not_established</x:v>
      </x:c>
      <x:c r="R11" s="8" t="str">
        <x:v>not_established</x:v>
      </x:c>
      <x:c r="S11" s="8" t="str">
        <x:v>Infant-health objective and sensing explicitly stated; Arduino and Pusher listed. React tag alone does not establish a documented interface.</x:v>
      </x:c>
      <x:c r="T11" s="8" t="str">
        <x:v>Most narrative sections empty. No clinical accuracy, completed UI or alerting workflow established.</x:v>
      </x:c>
      <x:c r="U11" s="11" t="str">
        <x:v>https://devpost.com/software/sock-it</x:v>
      </x:c>
      <x:c r="V11" s="10" t="n">
        <x:v>46290.5</x:v>
      </x:c>
    </x:row>
    <x:row r="12" ht="59" customHeight="1">
      <x:c r="A12" s="8" t="str">
        <x:v>P11</x:v>
      </x:c>
      <x:c r="B12" s="9" t="n">
        <x:v>2020</x:v>
      </x:c>
      <x:c r="C12" s="8" t="str">
        <x:v>overall</x:v>
      </x:c>
      <x:c r="D12" s="8" t="str">
        <x:v>Farsense</x:v>
      </x:c>
      <x:c r="E12" s="8" t="str">
        <x:v>overall</x:v>
      </x:c>
      <x:c r="F12" s="9" t="n">
        <x:v>1</x:v>
      </x:c>
      <x:c r="G12" s="8" t="str">
        <x:v>Best Overall - 1st Place
Wolfram Award by Wolfram Language</x:v>
      </x:c>
      <x:c r="H12" s="8" t="str">
        <x:v>Remote environmental monitoring can help assess disaster-related property and environmental damage.</x:v>
      </x:c>
      <x:c r="I12" s="8" t="str">
        <x:v>Battery-powered sensor stations send weather observations over a LoRa mesh to a dashboard.</x:v>
      </x:c>
      <x:c r="J12" s="8" t="str">
        <x:v>ESP32; RFM95; MTK3333 GPS; BME680; LoRa; Arduino; C; React</x:v>
      </x:c>
      <x:c r="K12" s="8" t="str">
        <x:v>yes</x:v>
      </x:c>
      <x:c r="L12" s="8" t="str">
        <x:v>yes</x:v>
      </x:c>
      <x:c r="M12" s="8" t="str">
        <x:v>yes</x:v>
      </x:c>
      <x:c r="N12" s="8" t="str">
        <x:v>not_established</x:v>
      </x:c>
      <x:c r="O12" s="8" t="str">
        <x:v>yes</x:v>
      </x:c>
      <x:c r="P12" s="8" t="str">
        <x:v>yes</x:v>
      </x:c>
      <x:c r="Q12" s="8" t="str">
        <x:v>not_established</x:v>
      </x:c>
      <x:c r="R12" s="8" t="str">
        <x:v>not_established</x:v>
      </x:c>
      <x:c r="S12" s="8" t="str">
        <x:v>Explicit environmental/disaster goal, dashboard and sensor components. Open-source LoRa library described; no external hosted service or ML implementation established.</x:v>
      </x:c>
      <x:c r="T12" s="8" t="str">
        <x:v>Damage prediction is a potential use; an operational predictive model or disaster-outcome improvement is not established.</x:v>
      </x:c>
      <x:c r="U12" s="11" t="str">
        <x:v>https://devpost.com/software/farsense</x:v>
      </x:c>
      <x:c r="V12" s="10" t="n">
        <x:v>46290.5</x:v>
      </x:c>
    </x:row>
    <x:row r="13" ht="59" customHeight="1">
      <x:c r="A13" s="8" t="str">
        <x:v>P12</x:v>
      </x:c>
      <x:c r="B13" s="9" t="n">
        <x:v>2020</x:v>
      </x:c>
      <x:c r="C13" s="8" t="str">
        <x:v>overall</x:v>
      </x:c>
      <x:c r="D13" s="8" t="str">
        <x:v>Social Distance Beer Pong</x:v>
      </x:c>
      <x:c r="E13" s="8" t="str">
        <x:v>overall</x:v>
      </x:c>
      <x:c r="F13" s="9" t="n">
        <x:v>2</x:v>
      </x:c>
      <x:c r="G13" s="8" t="str">
        <x:v>Best Overall - 2nd Place
Wolfram Award by Wolfram Language</x:v>
      </x:c>
      <x:c r="H13" s="8" t="str">
        <x:v>Friends wanted to play a familiar social game while remaining physically distant during COVID-19.</x:v>
      </x:c>
      <x:c r="I13" s="8" t="str">
        <x:v>Infrared cup sensors and a microcontroller send data by USB to a C++ terminal game.</x:v>
      </x:c>
      <x:c r="J13" s="8" t="str">
        <x:v>Adafruit ItsyBitsy; Arduino; IR sensors; C++; 3D printing</x:v>
      </x:c>
      <x:c r="K13" s="8" t="str">
        <x:v>yes</x:v>
      </x:c>
      <x:c r="L13" s="8" t="str">
        <x:v>yes</x:v>
      </x:c>
      <x:c r="M13" s="8" t="str">
        <x:v>yes</x:v>
      </x:c>
      <x:c r="N13" s="8" t="str">
        <x:v>not_established</x:v>
      </x:c>
      <x:c r="O13" s="8" t="str">
        <x:v>yes</x:v>
      </x:c>
      <x:c r="P13" s="8" t="str">
        <x:v>yes</x:v>
      </x:c>
      <x:c r="Q13" s="8" t="str">
        <x:v>not_established</x:v>
      </x:c>
      <x:c r="R13" s="8" t="str">
        <x:v>not_established</x:v>
      </x:c>
      <x:c r="S13" s="8" t="str">
        <x:v>Explicit pandemic-distancing purpose; physical sensors and terminal interface. Social benefit here is participant-stated safe social connection, not measured health impact.</x:v>
      </x:c>
      <x:c r="T13" s="8" t="str">
        <x:v>No remote network architecture or measured disease-risk reduction documented; terminal interface counts as interaction, not polished graphical UI.</x:v>
      </x:c>
      <x:c r="U13" s="11" t="str">
        <x:v>https://devpost.com/software/social-distance-beer-pong-8nkfe6</x:v>
      </x:c>
      <x:c r="V13" s="10" t="n">
        <x:v>46290.5</x:v>
      </x:c>
    </x:row>
    <x:row r="14" ht="59" customHeight="1">
      <x:c r="A14" s="8" t="str">
        <x:v>P13</x:v>
      </x:c>
      <x:c r="B14" s="9" t="n">
        <x:v>2020</x:v>
      </x:c>
      <x:c r="C14" s="8" t="str">
        <x:v>overall</x:v>
      </x:c>
      <x:c r="D14" s="8" t="str">
        <x:v>CloudPlate</x:v>
      </x:c>
      <x:c r="E14" s="8" t="str">
        <x:v>overall</x:v>
      </x:c>
      <x:c r="F14" s="9" t="n">
        <x:v>3</x:v>
      </x:c>
      <x:c r="G14" s="8" t="str">
        <x:v>Best Overall - 3rd Place
Best Potential Startup by 1517 Fund (Undergraduate students only)
Wolfram Award by Wolfram Language</x:v>
      </x:c>
      <x:c r="H14" s="8" t="str">
        <x:v>Dealership arrival and service check-in can be slow and impersonal.</x:v>
      </x:c>
      <x:c r="I14" s="8" t="str">
        <x:v>Camera/OCR identifies an arriving car; dashboard displays customer and service records; personalized SMS greets the customer.</x:v>
      </x:c>
      <x:c r="J14" s="8" t="str">
        <x:v>Google Cloud Vision OCR; Google Cloud Datastore; Cloud Storage; Twilio; Python; Flask; HTML/CSS/JavaScript</x:v>
      </x:c>
      <x:c r="K14" s="8" t="str">
        <x:v>yes</x:v>
      </x:c>
      <x:c r="L14" s="8" t="str">
        <x:v>yes</x:v>
      </x:c>
      <x:c r="M14" s="8" t="str">
        <x:v>yes</x:v>
      </x:c>
      <x:c r="N14" s="8" t="str">
        <x:v>yes</x:v>
      </x:c>
      <x:c r="O14" s="8" t="str">
        <x:v>not_established</x:v>
      </x:c>
      <x:c r="P14" s="8" t="str">
        <x:v>yes</x:v>
      </x:c>
      <x:c r="Q14" s="8" t="str">
        <x:v>yes</x:v>
      </x:c>
      <x:c r="R14" s="8" t="str">
        <x:v>not_established</x:v>
      </x:c>
      <x:c r="S14" s="8" t="str">
        <x:v>Cloud OCR/ML, API orchestration and dashboard screenshots documented; hardware is commodity cameras reportedly costing $15, not custom electronics.</x:v>
      </x:c>
      <x:c r="T14" s="8" t="str">
        <x:v>No quantified time savings or accuracy benchmark; repository kept private, code submitted as archive.</x:v>
      </x:c>
      <x:c r="U14" s="11" t="str">
        <x:v>https://devpost.com/software/cloudplate</x:v>
      </x:c>
      <x:c r="V14" s="10" t="n">
        <x:v>46290.5</x:v>
      </x:c>
    </x:row>
    <x:row r="15" ht="59" customHeight="1">
      <x:c r="A15" s="8" t="str">
        <x:v>P14</x:v>
      </x:c>
      <x:c r="B15" s="9" t="n">
        <x:v>2021</x:v>
      </x:c>
      <x:c r="C15" s="8" t="str">
        <x:v>overall</x:v>
      </x:c>
      <x:c r="D15" s="8" t="str">
        <x:v>Tango</x:v>
      </x:c>
      <x:c r="E15" s="8" t="str">
        <x:v>overall</x:v>
      </x:c>
      <x:c r="F15" s="9" t="n">
        <x:v>1</x:v>
      </x:c>
      <x:c r="G15" s="8" t="str">
        <x:v>Best Overall - 1st Place</x:v>
      </x:c>
      <x:c r="H15" s="8" t="str">
        <x:v>At-home dance learners lack interactive feedback from one-way tutorials.</x:v>
      </x:c>
      <x:c r="I15" s="8" t="str">
        <x:v>Pose estimation compares a learner to a reference routine; timing and body-size adjustments support live annotations, charts and replay.</x:v>
      </x:c>
      <x:c r="J15" s="8" t="str">
        <x:v>MediaPipe; OpenCV; dynamic time warping; React; Chakra UI; Recharts; FastAPI; FFmpeg; SQLite; ngrok</x:v>
      </x:c>
      <x:c r="K15" s="8" t="str">
        <x:v>yes</x:v>
      </x:c>
      <x:c r="L15" s="8" t="str">
        <x:v>yes</x:v>
      </x:c>
      <x:c r="M15" s="8" t="str">
        <x:v>yes</x:v>
      </x:c>
      <x:c r="N15" s="8" t="str">
        <x:v>yes</x:v>
      </x:c>
      <x:c r="O15" s="8" t="str">
        <x:v>yes</x:v>
      </x:c>
      <x:c r="P15" s="8" t="str">
        <x:v>not_established</x:v>
      </x:c>
      <x:c r="Q15" s="8" t="str">
        <x:v>yes</x:v>
      </x:c>
      <x:c r="R15" s="8" t="str">
        <x:v>not_established</x:v>
      </x:c>
      <x:c r="S15" s="8" t="str">
        <x:v>AI pose library and feedback charts explicitly described. ngrok is listed, so external service is yes under a broad hosting/tunnelling definition; MediaPipe itself is a library, not evidence of a cloud AI API.</x:v>
      </x:c>
      <x:c r="T15" s="8" t="str">
        <x:v>No validated coaching efficacy; responsive layout and robust edge-case handling are future work. Ordinary video input is not counted as custom hardware.</x:v>
      </x:c>
      <x:c r="U15" s="11" t="str">
        <x:v>https://devpost.com/software/tango-dikvm2</x:v>
      </x:c>
      <x:c r="V15" s="10" t="n">
        <x:v>46290.5</x:v>
      </x:c>
    </x:row>
    <x:row r="16" ht="72" customHeight="1">
      <x:c r="A16" s="8" t="str">
        <x:v>P15</x:v>
      </x:c>
      <x:c r="B16" s="9" t="n">
        <x:v>2021</x:v>
      </x:c>
      <x:c r="C16" s="8" t="str">
        <x:v>overall</x:v>
      </x:c>
      <x:c r="D16" s="8" t="str">
        <x:v>Bizchain</x:v>
      </x:c>
      <x:c r="E16" s="8" t="str">
        <x:v>overall</x:v>
      </x:c>
      <x:c r="F16" s="9" t="n">
        <x:v>2</x:v>
      </x:c>
      <x:c r="G16" s="8" t="str">
        <x:v>Best Overall - 2nd Place
Best Use of Notifications by Courier
CryptoCurrency Portfolio/Trading Application by CoinRoutes Inc.</x:v>
      </x:c>
      <x:c r="H16" s="8" t="str">
        <x:v>Consumers and local merchants face complex cryptocurrency payments and portfolio management.</x:v>
      </x:c>
      <x:c r="I16" s="8" t="str">
        <x:v>Shop at local merchants, manage crypto holdings, run trading strategies and receive price alerts.</x:v>
      </x:c>
      <x:c r="J16" s="8" t="str">
        <x:v>React; Flask; Google App Engine; AutoML Tables; Firestore; CoinRoutes; CryptoCompare; Courier; Twilio; Figma</x:v>
      </x:c>
      <x:c r="K16" s="8" t="str">
        <x:v>yes</x:v>
      </x:c>
      <x:c r="L16" s="8" t="str">
        <x:v>yes</x:v>
      </x:c>
      <x:c r="M16" s="8" t="str">
        <x:v>yes</x:v>
      </x:c>
      <x:c r="N16" s="8" t="str">
        <x:v>yes</x:v>
      </x:c>
      <x:c r="O16" s="8" t="str">
        <x:v>yes</x:v>
      </x:c>
      <x:c r="P16" s="8" t="str">
        <x:v>not_established</x:v>
      </x:c>
      <x:c r="Q16" s="8" t="str">
        <x:v>yes</x:v>
      </x:c>
      <x:c r="R16" s="8" t="str">
        <x:v>not_established</x:v>
      </x:c>
      <x:c r="S16" s="8" t="str">
        <x:v>Regression price model, external market/notification APIs and dashboard illustrated. Stated support for local businesses establishes a community-economic objective, not demonstrated benefit.</x:v>
      </x:c>
      <x:c r="T16" s="8" t="str">
        <x:v>No investment-return or model-accuracy validation; shopping/portfolio integration remained an improvement area. Financial simplicity is not coded as disability accessibility.</x:v>
      </x:c>
      <x:c r="U16" s="11" t="str">
        <x:v>https://devpost.com/software/we-can-change-this-at-any-time</x:v>
      </x:c>
      <x:c r="V16" s="10" t="n">
        <x:v>46290.5</x:v>
      </x:c>
    </x:row>
    <x:row r="17" ht="59" customHeight="1">
      <x:c r="A17" s="8" t="str">
        <x:v>P16</x:v>
      </x:c>
      <x:c r="B17" s="9" t="n">
        <x:v>2021</x:v>
      </x:c>
      <x:c r="C17" s="8" t="str">
        <x:v>overall</x:v>
      </x:c>
      <x:c r="D17" s="8" t="str">
        <x:v>Kudos</x:v>
      </x:c>
      <x:c r="E17" s="8" t="str">
        <x:v>overall</x:v>
      </x:c>
      <x:c r="F17" s="9" t="n">
        <x:v>3</x:v>
      </x:c>
      <x:c r="G17" s="8" t="str">
        <x:v>Best Overall - 3rd Place
Best Use of Google Cloud by Google</x:v>
      </x:c>
      <x:c r="H17" s="8" t="str">
        <x:v>Students and other users struggled to maintain productivity during the pandemic.</x:v>
      </x:c>
      <x:c r="I17" s="8" t="str">
        <x:v>Collaborate on tasks/projects and earn completion rewards; public page primarily documents design and intended app behavior.</x:v>
      </x:c>
      <x:c r="J17" s="8" t="str">
        <x:v>React Native; JavaScript; Firebase; Figma</x:v>
      </x:c>
      <x:c r="K17" s="8" t="str">
        <x:v>yes</x:v>
      </x:c>
      <x:c r="L17" s="8" t="str">
        <x:v>yes</x:v>
      </x:c>
      <x:c r="M17" s="8" t="str">
        <x:v>yes</x:v>
      </x:c>
      <x:c r="N17" s="8" t="str">
        <x:v>yes</x:v>
      </x:c>
      <x:c r="O17" s="8" t="str">
        <x:v>not_established</x:v>
      </x:c>
      <x:c r="P17" s="8" t="str">
        <x:v>not_established</x:v>
      </x:c>
      <x:c r="Q17" s="8" t="str">
        <x:v>not_established</x:v>
      </x:c>
      <x:c r="R17" s="8" t="str">
        <x:v>not_established</x:v>
      </x:c>
      <x:c r="S17" s="8" t="str">
        <x:v>Firebase backend, Figma interaction flows and design implementation documented.</x:v>
      </x:c>
      <x:c r="T17" s="8" t="str">
        <x:v>Explicit future work includes fixing authentication, continuing mobile-app construction and implementing reward finances. This is a counterexample to claims that all winners had a complete working product.</x:v>
      </x:c>
      <x:c r="U17" s="11" t="str">
        <x:v>https://devpost.com/software/kudos</x:v>
      </x:c>
      <x:c r="V17" s="10" t="n">
        <x:v>46290.5</x:v>
      </x:c>
    </x:row>
    <x:row r="18" ht="59" customHeight="1">
      <x:c r="A18" s="8" t="str">
        <x:v>P17</x:v>
      </x:c>
      <x:c r="B18" s="9" t="n">
        <x:v>2022</x:v>
      </x:c>
      <x:c r="C18" s="8" t="str">
        <x:v>overall</x:v>
      </x:c>
      <x:c r="D18" s="8" t="str">
        <x:v>The Tilter</x:v>
      </x:c>
      <x:c r="E18" s="8" t="str">
        <x:v>in_person</x:v>
      </x:c>
      <x:c r="F18" s="9" t="n">
        <x:v>1</x:v>
      </x:c>
      <x:c r="G18" s="8" t="str">
        <x:v>First Place</x:v>
      </x:c>
      <x:c r="H18" s="8" t="str">
        <x:v>A concrete control-engineering challenge: keep a golf ball balanced on a moving platform.</x:v>
      </x:c>
      <x:c r="I18" s="8" t="str">
        <x:v>Phone camera tracks the ball; Python PID control sends serial commands to Arduino servos.</x:v>
      </x:c>
      <x:c r="J18" s="8" t="str">
        <x:v>Python; PID control; C++; Arduino; DroidCam; servo motors</x:v>
      </x:c>
      <x:c r="K18" s="8" t="str">
        <x:v>yes</x:v>
      </x:c>
      <x:c r="L18" s="8" t="str">
        <x:v>yes</x:v>
      </x:c>
      <x:c r="M18" s="8" t="str">
        <x:v>yes</x:v>
      </x:c>
      <x:c r="N18" s="8" t="str">
        <x:v>not_established</x:v>
      </x:c>
      <x:c r="O18" s="8" t="str">
        <x:v>not_established</x:v>
      </x:c>
      <x:c r="P18" s="8" t="str">
        <x:v>yes</x:v>
      </x:c>
      <x:c r="Q18" s="8" t="str">
        <x:v>not_established</x:v>
      </x:c>
      <x:c r="R18" s="8" t="str">
        <x:v>not_established</x:v>
      </x:c>
      <x:c r="S18" s="8" t="str">
        <x:v>Computer-vision tracking is described, but no learned model is specified. Working ball-balancing platform and video link. Arduino, servo motors and cardboard platform.</x:v>
      </x:c>
      <x:c r="T18" s="8" t="str">
        <x:v>Engineering demonstrator; no explicit civic/health/education beneficiary is claimed. Future joystick game is a proposal.</x:v>
      </x:c>
      <x:c r="U18" s="11" t="str">
        <x:v>https://devpost.com/software/the-tilter</x:v>
      </x:c>
      <x:c r="V18" s="10" t="n">
        <x:v>46290.5</x:v>
      </x:c>
    </x:row>
    <x:row r="19" ht="46" customHeight="1">
      <x:c r="A19" s="8" t="str">
        <x:v>P18</x:v>
      </x:c>
      <x:c r="B19" s="9" t="n">
        <x:v>2022</x:v>
      </x:c>
      <x:c r="C19" s="8" t="str">
        <x:v>overall</x:v>
      </x:c>
      <x:c r="D19" s="8" t="str">
        <x:v>Pegasus</x:v>
      </x:c>
      <x:c r="E19" s="8" t="str">
        <x:v>virtual</x:v>
      </x:c>
      <x:c r="F19" s="9" t="n">
        <x:v>1</x:v>
      </x:c>
      <x:c r="G19" s="8" t="str">
        <x:v>First Place (Virtual)
MITRE: Building Web3 (4th Place)</x:v>
      </x:c>
      <x:c r="H19" s="8" t="str">
        <x:v>Help organizations search securities data and identify source-code vulnerabilities.</x:v>
      </x:c>
      <x:c r="I19" s="8" t="str">
        <x:v>Upload CSV data for indexed queries or source code for rule-based vulnerability scanning and alerts.</x:v>
      </x:c>
      <x:c r="J19" s="8" t="str">
        <x:v>React; Node.js; Python; Flask; Regex; IPFS; AWS Lambda; AWS API Gateway</x:v>
      </x:c>
      <x:c r="K19" s="8" t="str">
        <x:v>yes</x:v>
      </x:c>
      <x:c r="L19" s="8" t="str">
        <x:v>yes</x:v>
      </x:c>
      <x:c r="M19" s="8" t="str">
        <x:v>yes</x:v>
      </x:c>
      <x:c r="N19" s="8" t="str">
        <x:v>yes</x:v>
      </x:c>
      <x:c r="O19" s="8" t="str">
        <x:v>not_established</x:v>
      </x:c>
      <x:c r="P19" s="8" t="str">
        <x:v>not_established</x:v>
      </x:c>
      <x:c r="Q19" s="8" t="str">
        <x:v>not_established</x:v>
      </x:c>
      <x:c r="R19" s="8" t="str">
        <x:v>not_established</x:v>
      </x:c>
      <x:c r="S19" s="8" t="str">
        <x:v>AWS Lambda/API Gateway backend and IPFS network. React frontend accepts uploads and presents vulnerability results.</x:v>
      </x:c>
      <x:c r="T19" s="8" t="str">
        <x:v>Authors explicitly linked ideation to Schonfeld and MITRE challenges. Scanning is custom regex-based; do not relabel it ML.</x:v>
      </x:c>
      <x:c r="U19" s="11" t="str">
        <x:v>https://devpost.com/software/pegasus-5x03j1</x:v>
      </x:c>
      <x:c r="V19" s="10" t="n">
        <x:v>46290.5</x:v>
      </x:c>
    </x:row>
    <x:row r="20" ht="46" customHeight="1">
      <x:c r="A20" s="8" t="str">
        <x:v>P19</x:v>
      </x:c>
      <x:c r="B20" s="9" t="n">
        <x:v>2022</x:v>
      </x:c>
      <x:c r="C20" s="8" t="str">
        <x:v>overall</x:v>
      </x:c>
      <x:c r="D20" s="8" t="str">
        <x:v>Saberfy</x:v>
      </x:c>
      <x:c r="E20" s="8" t="str">
        <x:v>in_person</x:v>
      </x:c>
      <x:c r="F20" s="9" t="n">
        <x:v>2</x:v>
      </x:c>
      <x:c r="G20" s="8" t="str">
        <x:v>Second Place
ShellHacks - Best First-Time Hacker</x:v>
      </x:c>
      <x:c r="H20" s="8" t="str">
        <x:v>Beat Saber players lack maps for some preferred songs; manual creation takes time.</x:v>
      </x:c>
      <x:c r="I20" s="8" t="str">
        <x:v>Supply a Spotify song link; Python translates song characteristics into importable Beat Saber map files with difficulty variants.</x:v>
      </x:c>
      <x:c r="J20" s="8" t="str">
        <x:v>Python; Spotify Web API; spotdl; JSON; Wix</x:v>
      </x:c>
      <x:c r="K20" s="8" t="str">
        <x:v>yes</x:v>
      </x:c>
      <x:c r="L20" s="8" t="str">
        <x:v>yes</x:v>
      </x:c>
      <x:c r="M20" s="8" t="str">
        <x:v>yes</x:v>
      </x:c>
      <x:c r="N20" s="8" t="str">
        <x:v>yes</x:v>
      </x:c>
      <x:c r="O20" s="8" t="str">
        <x:v>not_established</x:v>
      </x:c>
      <x:c r="P20" s="8" t="str">
        <x:v>not_established</x:v>
      </x:c>
      <x:c r="Q20" s="8" t="str">
        <x:v>not_established</x:v>
      </x:c>
      <x:c r="R20" s="8" t="str">
        <x:v>not_established</x:v>
      </x:c>
      <x:c r="S20" s="8" t="str">
        <x:v>Spotify Web API and other APIs provide song data. Website/graphics and playable map output described.</x:v>
      </x:c>
      <x:c r="T20" s="8" t="str">
        <x:v>A team member says the direct website-to-server integration was unfinished. VR game output does not establish custom hardware development.</x:v>
      </x:c>
      <x:c r="U20" s="11" t="str">
        <x:v>https://devpost.com/software/saberfy</x:v>
      </x:c>
      <x:c r="V20" s="10" t="n">
        <x:v>46290.5</x:v>
      </x:c>
    </x:row>
    <x:row r="21" ht="72" customHeight="1">
      <x:c r="A21" s="8" t="str">
        <x:v>P20</x:v>
      </x:c>
      <x:c r="B21" s="9" t="n">
        <x:v>2022</x:v>
      </x:c>
      <x:c r="C21" s="8" t="str">
        <x:v>overall</x:v>
      </x:c>
      <x:c r="D21" s="8" t="str">
        <x:v>DAOchow</x:v>
      </x:c>
      <x:c r="E21" s="8" t="str">
        <x:v>virtual</x:v>
      </x:c>
      <x:c r="F21" s="9" t="n">
        <x:v>2</x:v>
      </x:c>
      <x:c r="G21" s="8" t="str">
        <x:v>Second Place (Virtual)
MITRE: Building Web3 (2nd Place)</x:v>
      </x:c>
      <x:c r="H21" s="8" t="str">
        <x:v>Food-insecure residents need access to community fridges and transparent funding.</x:v>
      </x:c>
      <x:c r="I21" s="8" t="str">
        <x:v>A decentralized web app connects users to food access and manages funds through a DAO.</x:v>
      </x:c>
      <x:c r="J21" s="8" t="str">
        <x:v>React; Tailwind; Azure; TensorFlow; Aragon; Twilio</x:v>
      </x:c>
      <x:c r="K21" s="8" t="str">
        <x:v>yes</x:v>
      </x:c>
      <x:c r="L21" s="8" t="str">
        <x:v>yes</x:v>
      </x:c>
      <x:c r="M21" s="8" t="str">
        <x:v>yes</x:v>
      </x:c>
      <x:c r="N21" s="8" t="str">
        <x:v>yes</x:v>
      </x:c>
      <x:c r="O21" s="8" t="str">
        <x:v>yes</x:v>
      </x:c>
      <x:c r="P21" s="8" t="str">
        <x:v>not_established</x:v>
      </x:c>
      <x:c r="Q21" s="8" t="str">
        <x:v>yes</x:v>
      </x:c>
      <x:c r="R21" s="8" t="str">
        <x:v>yes</x:v>
      </x:c>
      <x:c r="S21" s="8" t="str">
        <x:v>Authors explicitly report implementing TensorFlow for an ML model. Azure hosting and API calls described. Targets food-insecure and financially constrained users. Community food access. Map, proposals, tasks and profile screens.</x:v>
      </x:c>
      <x:c r="T21" s="8" t="str">
        <x:v>ML task is unspecified. USDA-based placement of new fridges is future work, not a demonstrated function.</x:v>
      </x:c>
      <x:c r="U21" s="11" t="str">
        <x:v>https://devpost.com/software/daochow</x:v>
      </x:c>
      <x:c r="V21" s="10" t="n">
        <x:v>46290.5</x:v>
      </x:c>
    </x:row>
    <x:row r="22" ht="46" customHeight="1">
      <x:c r="A22" s="8" t="str">
        <x:v>P21</x:v>
      </x:c>
      <x:c r="B22" s="9" t="n">
        <x:v>2022</x:v>
      </x:c>
      <x:c r="C22" s="8" t="str">
        <x:v>overall</x:v>
      </x:c>
      <x:c r="D22" s="8" t="str">
        <x:v>AlgoSaurus</x:v>
      </x:c>
      <x:c r="E22" s="8" t="str">
        <x:v>in_person</x:v>
      </x:c>
      <x:c r="F22" s="9" t="n">
        <x:v>3</x:v>
      </x:c>
      <x:c r="G22" s="8" t="str">
        <x:v>Third Place</x:v>
      </x:c>
      <x:c r="H22" s="8" t="str">
        <x:v>Beginning programmers struggle to understand sorting algorithms.</x:v>
      </x:c>
      <x:c r="I22" s="8" t="str">
        <x:v>Choose an algorithm, observe animated sorting, and adjust chart size or speed while reading explanations.</x:v>
      </x:c>
      <x:c r="J22" s="8" t="str">
        <x:v>TypeScript; React; Firebase</x:v>
      </x:c>
      <x:c r="K22" s="8" t="str">
        <x:v>yes</x:v>
      </x:c>
      <x:c r="L22" s="8" t="str">
        <x:v>yes</x:v>
      </x:c>
      <x:c r="M22" s="8" t="str">
        <x:v>yes</x:v>
      </x:c>
      <x:c r="N22" s="8" t="str">
        <x:v>yes</x:v>
      </x:c>
      <x:c r="O22" s="8" t="str">
        <x:v>yes</x:v>
      </x:c>
      <x:c r="P22" s="8" t="str">
        <x:v>not_established</x:v>
      </x:c>
      <x:c r="Q22" s="8" t="str">
        <x:v>not_established</x:v>
      </x:c>
      <x:c r="R22" s="8" t="str">
        <x:v>not_established</x:v>
      </x:c>
      <x:c r="S22" s="8" t="str">
        <x:v>Firebase appears in Built With and a web.app deployment is linked. Learning aid for novice programmers. Animated charts with adjustable speed and bar count.</x:v>
      </x:c>
      <x:c r="T22" s="8" t="str">
        <x:v>Authentication, tutoring and chat are proposed future additions. Ordinary beginner education is not automatically disability/inclusion evidence.</x:v>
      </x:c>
      <x:c r="U22" s="11" t="str">
        <x:v>https://devpost.com/software/algosaurus</x:v>
      </x:c>
      <x:c r="V22" s="10" t="n">
        <x:v>46290.5</x:v>
      </x:c>
    </x:row>
    <x:row r="23" ht="72" customHeight="1">
      <x:c r="A23" s="8" t="str">
        <x:v>P22</x:v>
      </x:c>
      <x:c r="B23" s="9" t="n">
        <x:v>2022</x:v>
      </x:c>
      <x:c r="C23" s="8" t="str">
        <x:v>overall</x:v>
      </x:c>
      <x:c r="D23" s="8" t="str">
        <x:v>Ping Path</x:v>
      </x:c>
      <x:c r="E23" s="8" t="str">
        <x:v>virtual</x:v>
      </x:c>
      <x:c r="F23" s="9" t="n">
        <x:v>3</x:v>
      </x:c>
      <x:c r="G23" s="8" t="str">
        <x:v>Third Place (Virtual)</x:v>
      </x:c>
      <x:c r="H23" s="8" t="str">
        <x:v>People with visual impairments need safer, more independent navigation around obstacles and destinations.</x:v>
      </x:c>
      <x:c r="I23" s="8" t="str">
        <x:v>LiDAR and ML interpret surroundings; spatial audio guides users, with shared maps and voice interactions.</x:v>
      </x:c>
      <x:c r="J23" s="8" t="str">
        <x:v>Swift; SwiftUI; RealityKit; RoomPlan; CoreML; Firebase Cloud Storage; LiDAR</x:v>
      </x:c>
      <x:c r="K23" s="8" t="str">
        <x:v>yes</x:v>
      </x:c>
      <x:c r="L23" s="8" t="str">
        <x:v>yes</x:v>
      </x:c>
      <x:c r="M23" s="8" t="str">
        <x:v>yes</x:v>
      </x:c>
      <x:c r="N23" s="8" t="str">
        <x:v>yes</x:v>
      </x:c>
      <x:c r="O23" s="8" t="str">
        <x:v>yes</x:v>
      </x:c>
      <x:c r="P23" s="8" t="str">
        <x:v>yes</x:v>
      </x:c>
      <x:c r="Q23" s="8" t="str">
        <x:v>yes</x:v>
      </x:c>
      <x:c r="R23" s="8" t="str">
        <x:v>yes</x:v>
      </x:c>
      <x:c r="S23" s="8" t="str">
        <x:v>CoreML gesture recognition described. Firebase stores shared world data. Visually impaired target users, Siri shortcuts and VoiceOver testing. Independent navigation and hazard awareness. App interface, beta link and video. LiDAR-capable iPhone/iPad sensor.</x:v>
      </x:c>
      <x:c r="T23" s="8" t="str">
        <x:v>Authors report conversations with visually impaired users; efficacy not independently validated. Non-LiDAR support is inconsistently described as current versus after the hackathon.</x:v>
      </x:c>
      <x:c r="U23" s="11" t="str">
        <x:v>https://devpost.com/software/ping-path</x:v>
      </x:c>
      <x:c r="V23" s="10" t="n">
        <x:v>46290.5</x:v>
      </x:c>
    </x:row>
    <x:row r="24" ht="46" customHeight="1">
      <x:c r="A24" s="8" t="str">
        <x:v>P23</x:v>
      </x:c>
      <x:c r="B24" s="9" t="n">
        <x:v>2023</x:v>
      </x:c>
      <x:c r="C24" s="8" t="str">
        <x:v>overall</x:v>
      </x:c>
      <x:c r="D24" s="8" t="str">
        <x:v>Chess 10</x:v>
      </x:c>
      <x:c r="E24" s="8" t="str">
        <x:v>overall</x:v>
      </x:c>
      <x:c r="F24" s="9" t="n">
        <x:v>1</x:v>
      </x:c>
      <x:c r="G24" s="8" t="str">
        <x:v>Best Overall</x:v>
      </x:c>
      <x:c r="H24" s="8" t="str">
        <x:v>Give chess players a new strategic experience through altered rules and multiple participants.</x:v>
      </x:c>
      <x:c r="I24" s="8" t="str">
        <x:v>Play a 3D chess variant extending en passant mechanics to most pieces.</x:v>
      </x:c>
      <x:c r="J24" s="8" t="str">
        <x:v>Three.js; Vanta.js; Blender; TypeScript; React</x:v>
      </x:c>
      <x:c r="K24" s="8" t="str">
        <x:v>yes</x:v>
      </x:c>
      <x:c r="L24" s="8" t="str">
        <x:v>yes</x:v>
      </x:c>
      <x:c r="M24" s="8" t="str">
        <x:v>yes</x:v>
      </x:c>
      <x:c r="N24" s="8" t="str">
        <x:v>not_established</x:v>
      </x:c>
      <x:c r="O24" s="8" t="str">
        <x:v>not_established</x:v>
      </x:c>
      <x:c r="P24" s="8" t="str">
        <x:v>not_established</x:v>
      </x:c>
      <x:c r="Q24" s="8" t="str">
        <x:v>not_established</x:v>
      </x:c>
      <x:c r="R24" s="8" t="str">
        <x:v>not_established</x:v>
      </x:c>
      <x:c r="S24" s="8" t="str">
        <x:v>3D board, models, animated background and React UI; demo and repository links.</x:v>
      </x:c>
      <x:c r="T24" s="8" t="str">
        <x:v>No AI, social-impact or API integration is reported. New mechanics and implementation are described; originality is not independently assessed.</x:v>
      </x:c>
      <x:c r="U24" s="11" t="str">
        <x:v>https://devpost.com/software/chess-10</x:v>
      </x:c>
      <x:c r="V24" s="10" t="n">
        <x:v>46290.5</x:v>
      </x:c>
    </x:row>
    <x:row r="25" ht="59" customHeight="1">
      <x:c r="A25" s="8" t="str">
        <x:v>P24</x:v>
      </x:c>
      <x:c r="B25" s="9" t="n">
        <x:v>2023</x:v>
      </x:c>
      <x:c r="C25" s="8" t="str">
        <x:v>overall</x:v>
      </x:c>
      <x:c r="D25" s="8" t="str">
        <x:v>IntelliSchedule</x:v>
      </x:c>
      <x:c r="E25" s="8" t="str">
        <x:v>overall</x:v>
      </x:c>
      <x:c r="F25" s="9" t="n">
        <x:v>2</x:v>
      </x:c>
      <x:c r="G25" s="8" t="str">
        <x:v>Google
Second Place Overall</x:v>
      </x:c>
      <x:c r="H25" s="8" t="str">
        <x:v>College students waste time switching between course selection and professor reviews.</x:v>
      </x:c>
      <x:c r="I25" s="8" t="str">
        <x:v>Chrome extension places ratings, difficulty, return-interest scores and review summaries alongside FIU course choices.</x:v>
      </x:c>
      <x:c r="J25" s="8" t="str">
        <x:v>Python; Beautiful Soup; JavaScript; HTML; CSS; GraphQL data retrieval</x:v>
      </x:c>
      <x:c r="K25" s="8" t="str">
        <x:v>yes</x:v>
      </x:c>
      <x:c r="L25" s="8" t="str">
        <x:v>yes</x:v>
      </x:c>
      <x:c r="M25" s="8" t="str">
        <x:v>yes</x:v>
      </x:c>
      <x:c r="N25" s="8" t="str">
        <x:v>yes</x:v>
      </x:c>
      <x:c r="O25" s="8" t="str">
        <x:v>yes</x:v>
      </x:c>
      <x:c r="P25" s="8" t="str">
        <x:v>not_established</x:v>
      </x:c>
      <x:c r="Q25" s="8" t="str">
        <x:v>not_established</x:v>
      </x:c>
      <x:c r="R25" s="8" t="str">
        <x:v>not_established</x:v>
      </x:c>
      <x:c r="S25" s="8" t="str">
        <x:v>Sentiment analysis described without model details; chatbot is future work. Rate My Professors and FIU course data integrated. Helps students choose courses. Browser extension displays ratings beside class options.</x:v>
      </x:c>
      <x:c r="T25" s="8" t="str">
        <x:v>No sponsor rank stated on award label. AI classification remains ambiguous; do not count proposed chatbot as implemented.</x:v>
      </x:c>
      <x:c r="U25" s="11" t="str">
        <x:v>https://devpost.com/software/intellischedule</x:v>
      </x:c>
      <x:c r="V25" s="10" t="n">
        <x:v>46290.5</x:v>
      </x:c>
    </x:row>
    <x:row r="26" ht="46" customHeight="1">
      <x:c r="A26" s="8" t="str">
        <x:v>P25</x:v>
      </x:c>
      <x:c r="B26" s="9" t="n">
        <x:v>2023</x:v>
      </x:c>
      <x:c r="C26" s="8" t="str">
        <x:v>overall</x:v>
      </x:c>
      <x:c r="D26" s="8" t="str">
        <x:v>MedVoyage</x:v>
      </x:c>
      <x:c r="E26" s="8" t="str">
        <x:v>overall</x:v>
      </x:c>
      <x:c r="F26" s="9" t="n">
        <x:v>3</x:v>
      </x:c>
      <x:c r="G26" s="8" t="str">
        <x:v>Third Place Overall</x:v>
      </x:c>
      <x:c r="H26" s="8" t="str">
        <x:v>Offer users a guided route from symptom questions to a preliminary diagnostic suggestion.</x:v>
      </x:c>
      <x:c r="I26" s="8" t="str">
        <x:v>A website walks users through a JavaScript binary decision tree.</x:v>
      </x:c>
      <x:c r="J26" s="8" t="str">
        <x:v>HTML5; CSS3; JavaScript; binary decision tree</x:v>
      </x:c>
      <x:c r="K26" s="8" t="str">
        <x:v>yes</x:v>
      </x:c>
      <x:c r="L26" s="8" t="str">
        <x:v>yes</x:v>
      </x:c>
      <x:c r="M26" s="8" t="str">
        <x:v>yes</x:v>
      </x:c>
      <x:c r="N26" s="8" t="str">
        <x:v>not_established</x:v>
      </x:c>
      <x:c r="O26" s="8" t="str">
        <x:v>yes</x:v>
      </x:c>
      <x:c r="P26" s="8" t="str">
        <x:v>not_established</x:v>
      </x:c>
      <x:c r="Q26" s="8" t="str">
        <x:v>not_established</x:v>
      </x:c>
      <x:c r="R26" s="8" t="str">
        <x:v>not_established</x:v>
      </x:c>
      <x:c r="S26" s="8" t="str">
        <x:v>Health-information workflow. Website with parallax design and linked live page.</x:v>
      </x:c>
      <x:c r="T26" s="8" t="str">
        <x:v>A binary decision tree is not necessarily trained ML. Accuracy and safety claims are unvalidated; support for different screen sizes is explicitly future work.</x:v>
      </x:c>
      <x:c r="U26" s="11" t="str">
        <x:v>https://devpost.com/software/medvoyage</x:v>
      </x:c>
      <x:c r="V26" s="10" t="n">
        <x:v>46290.5</x:v>
      </x:c>
    </x:row>
    <x:row r="27" ht="72" customHeight="1">
      <x:c r="A27" s="8" t="str">
        <x:v>P26</x:v>
      </x:c>
      <x:c r="B27" s="9" t="n">
        <x:v>2024</x:v>
      </x:c>
      <x:c r="C27" s="8" t="str">
        <x:v>overall</x:v>
      </x:c>
      <x:c r="D27" s="8" t="str">
        <x:v>Epileptic Seizure Prevention and Early Response (ESPER)</x:v>
      </x:c>
      <x:c r="E27" s="8" t="str">
        <x:v>overall</x:v>
      </x:c>
      <x:c r="F27" s="9" t="n">
        <x:v>1</x:v>
      </x:c>
      <x:c r="G27" s="8" t="str">
        <x:v>Best Overall
Assurant</x:v>
      </x:c>
      <x:c r="H27" s="8" t="str">
        <x:v>Reduce abrupt brightness changes in web video for people with epilepsy.</x:v>
      </x:c>
      <x:c r="I27" s="8" t="str">
        <x:v>A browser extension measures frame luminosity, applies CSS brightness adjustments, and uploads video characteristics to an analytical dashboard.</x:v>
      </x:c>
      <x:c r="J27" s="8" t="str">
        <x:v>JavaScript; Chrome Extension API; YouTube API; Java; Vert.x; Snowflake; Snowpark; Streamlit; DigitalOcean</x:v>
      </x:c>
      <x:c r="K27" s="8" t="str">
        <x:v>yes</x:v>
      </x:c>
      <x:c r="L27" s="8" t="str">
        <x:v>yes</x:v>
      </x:c>
      <x:c r="M27" s="8" t="str">
        <x:v>yes</x:v>
      </x:c>
      <x:c r="N27" s="8" t="str">
        <x:v>yes</x:v>
      </x:c>
      <x:c r="O27" s="8" t="str">
        <x:v>yes</x:v>
      </x:c>
      <x:c r="P27" s="8" t="str">
        <x:v>not_established</x:v>
      </x:c>
      <x:c r="Q27" s="8" t="str">
        <x:v>not_established</x:v>
      </x:c>
      <x:c r="R27" s="8" t="str">
        <x:v>yes</x:v>
      </x:c>
      <x:c r="S27" s="8" t="str">
        <x:v>Application of data to ML/AI is listed as next work. YouTube API, Snowflake database and cloud hosting. Explicit epilepsy accessibility goal. Intended reduction of exposure to seizure-triggering flashes. Extension plus interactive Streamlit dashboard.</x:v>
      </x:c>
      <x:c r="T27" s="8" t="str">
        <x:v>No clinical outcome is demonstrated. Sponsor label has no rank.</x:v>
      </x:c>
      <x:c r="U27" s="11" t="str">
        <x:v>https://devpost.com/software/esper-fy6xeh</x:v>
      </x:c>
      <x:c r="V27" s="10" t="n">
        <x:v>46290.5</x:v>
      </x:c>
    </x:row>
    <x:row r="28" ht="72" customHeight="1">
      <x:c r="A28" s="8" t="str">
        <x:v>P27</x:v>
      </x:c>
      <x:c r="B28" s="9" t="n">
        <x:v>2024</x:v>
      </x:c>
      <x:c r="C28" s="8" t="str">
        <x:v>overall</x:v>
      </x:c>
      <x:c r="D28" s="8" t="str">
        <x:v>ARSL - Augmented Reality Sign Language</x:v>
      </x:c>
      <x:c r="E28" s="8" t="str">
        <x:v>overall</x:v>
      </x:c>
      <x:c r="F28" s="9" t="n">
        <x:v>2</x:v>
      </x:c>
      <x:c r="G28" s="8" t="str">
        <x:v>Second Best Overall
Microsoft
Google</x:v>
      </x:c>
      <x:c r="H28" s="8" t="str">
        <x:v>Make ASL alphabet learning interactive and connected to surrounding objects.</x:v>
      </x:c>
      <x:c r="I28" s="8" t="str">
        <x:v>Quest passthrough identifies objects; hand tracking and a vibrating glove guide the learner through spelling.</x:v>
      </x:c>
      <x:c r="J28" s="8" t="str">
        <x:v>Unity; Meta XR; Python; PyTorch; OpenCV; TCP; ngrok; C; C#; haptic glove</x:v>
      </x:c>
      <x:c r="K28" s="8" t="str">
        <x:v>yes</x:v>
      </x:c>
      <x:c r="L28" s="8" t="str">
        <x:v>yes</x:v>
      </x:c>
      <x:c r="M28" s="8" t="str">
        <x:v>yes</x:v>
      </x:c>
      <x:c r="N28" s="8" t="str">
        <x:v>yes</x:v>
      </x:c>
      <x:c r="O28" s="8" t="str">
        <x:v>yes</x:v>
      </x:c>
      <x:c r="P28" s="8" t="str">
        <x:v>yes</x:v>
      </x:c>
      <x:c r="Q28" s="8" t="str">
        <x:v>yes</x:v>
      </x:c>
      <x:c r="R28" s="8" t="str">
        <x:v>yes</x:v>
      </x:c>
      <x:c r="S28" s="8" t="str">
        <x:v>Image/pose recognition models and PyTorch described. ngrok listed for server connectivity. ASL and hard-of-hearing communication goal. Sign-language education. AR teaching interface and video. Quest headset plus functional vibrating glove.</x:v>
      </x:c>
      <x:c r="T28" s="8" t="str">
        <x:v>Object/gesture recognition accuracy needs improvement; whole-word mode is future work. Sponsor ranks unspecified.</x:v>
      </x:c>
      <x:c r="U28" s="11" t="str">
        <x:v>https://devpost.com/software/arsl-vr-asl-learning</x:v>
      </x:c>
      <x:c r="V28" s="10" t="n">
        <x:v>46290.5</x:v>
      </x:c>
    </x:row>
    <x:row r="29" ht="59" customHeight="1">
      <x:c r="A29" s="8" t="str">
        <x:v>P28</x:v>
      </x:c>
      <x:c r="B29" s="9" t="n">
        <x:v>2024</x:v>
      </x:c>
      <x:c r="C29" s="8" t="str">
        <x:v>overall</x:v>
      </x:c>
      <x:c r="D29" s="8" t="str">
        <x:v>Diffusion Earth</x:v>
      </x:c>
      <x:c r="E29" s="8" t="str">
        <x:v>overall</x:v>
      </x:c>
      <x:c r="F29" s="9" t="n">
        <x:v>3</x:v>
      </x:c>
      <x:c r="G29" s="8" t="str">
        <x:v>Third Best Overall</x:v>
      </x:c>
      <x:c r="H29" s="8" t="str">
        <x:v>Let learners explore environments beyond static images.</x:v>
      </x:c>
      <x:c r="I29" s="8" t="str">
        <x:v>Start with an image, prompt or address; generate depth/point clouds and synthesize new views as the user moves.</x:v>
      </x:c>
      <x:c r="J29" s="8" t="str">
        <x:v>Python; Open3D; Stable Diffusion; Marigold; Moondream; Creative Upscaler; Next.js; Tailwind; Google Maps Street View API</x:v>
      </x:c>
      <x:c r="K29" s="8" t="str">
        <x:v>yes</x:v>
      </x:c>
      <x:c r="L29" s="8" t="str">
        <x:v>yes</x:v>
      </x:c>
      <x:c r="M29" s="8" t="str">
        <x:v>yes</x:v>
      </x:c>
      <x:c r="N29" s="8" t="str">
        <x:v>yes</x:v>
      </x:c>
      <x:c r="O29" s="8" t="str">
        <x:v>yes</x:v>
      </x:c>
      <x:c r="P29" s="8" t="str">
        <x:v>not_established</x:v>
      </x:c>
      <x:c r="Q29" s="8" t="str">
        <x:v>yes</x:v>
      </x:c>
      <x:c r="R29" s="8" t="str">
        <x:v>not_established</x:v>
      </x:c>
      <x:c r="S29" s="8" t="str">
        <x:v>Diffusion generation, depth estimation and inpainting models. Google Maps Street View imagery and hosted GPUs. Educational exploration is the stated motivation. Navigable environment via WASD or onscreen buttons.</x:v>
      </x:c>
      <x:c r="T29" s="8" t="str">
        <x:v>Authors report reducing frame generation from about 120 seconds to 10–15 seconds; this is self-reported. Urban planning/conservation applications are future proposals.</x:v>
      </x:c>
      <x:c r="U29" s="11" t="str">
        <x:v>https://devpost.com/software/diffusion-earth</x:v>
      </x:c>
      <x:c r="V29" s="10" t="n">
        <x:v>46290.5</x:v>
      </x:c>
    </x:row>
    <x:row r="30" ht="98" customHeight="1">
      <x:c r="A30" s="8" t="str">
        <x:v>P29</x:v>
      </x:c>
      <x:c r="B30" s="9" t="n">
        <x:v>2025</x:v>
      </x:c>
      <x:c r="C30" s="8" t="str">
        <x:v>overall</x:v>
      </x:c>
      <x:c r="D30" s="8" t="str">
        <x:v>EcoSort</x:v>
      </x:c>
      <x:c r="E30" s="8" t="str">
        <x:v>overall</x:v>
      </x:c>
      <x:c r="F30" s="9"/>
      <x:c r="G30" s="8" t="str">
        <x:v>1st, 2nd, &amp; 3rd Best Overall
Wix.com &amp; Base44</x:v>
      </x:c>
      <x:c r="H30" s="8" t="str">
        <x:v>Students and community members uncertain about correct recycling and donation.</x:v>
      </x:c>
      <x:c r="I30" s="8" t="str">
        <x:v>Photograph an item, receive disposal guidance, review scans and find donation or drop-off locations.</x:v>
      </x:c>
      <x:c r="J30" s="8" t="str">
        <x:v>Base44; JavaScript; CSS; GitHub</x:v>
      </x:c>
      <x:c r="K30" s="8" t="str">
        <x:v>yes</x:v>
      </x:c>
      <x:c r="L30" s="8" t="str">
        <x:v>yes</x:v>
      </x:c>
      <x:c r="M30" s="8" t="str">
        <x:v>yes</x:v>
      </x:c>
      <x:c r="N30" s="8" t="str">
        <x:v>yes</x:v>
      </x:c>
      <x:c r="O30" s="8" t="str">
        <x:v>yes</x:v>
      </x:c>
      <x:c r="P30" s="8" t="str">
        <x:v>not_established</x:v>
      </x:c>
      <x:c r="Q30" s="8" t="str">
        <x:v>not_established</x:v>
      </x:c>
      <x:c r="R30" s="8" t="str">
        <x:v>not_established</x:v>
      </x:c>
      <x:c r="S30" s="8" t="str">
        <x:v>AI-assisted development is described, but runtime classifier implementation is unspecified. Built and hosted on Base44; live application linked. No specific disability or inclusion mechanism documented. Purpose is improved recycling and reduced waste. Scanner, learning, history and map pages described. Team explicitly cut hardware implementation.</x:v>
      </x:c>
      <x:c r="T30" s="8" t="str">
        <x:v>Hardware and some mapping ambitions were deferred; effectiveness was not independently measured.</x:v>
      </x:c>
      <x:c r="U30" s="11" t="str">
        <x:v>https://devpost.com/software/ecosort-ofyuie</x:v>
      </x:c>
      <x:c r="V30" s="10" t="n">
        <x:v>46290.5</x:v>
      </x:c>
    </x:row>
    <x:row r="31" ht="85" customHeight="1">
      <x:c r="A31" s="8" t="str">
        <x:v>P30</x:v>
      </x:c>
      <x:c r="B31" s="9" t="n">
        <x:v>2025</x:v>
      </x:c>
      <x:c r="C31" s="8" t="str">
        <x:v>overall</x:v>
      </x:c>
      <x:c r="D31" s="8" t="str">
        <x:v>FloodGuard</x:v>
      </x:c>
      <x:c r="E31" s="8" t="str">
        <x:v>overall</x:v>
      </x:c>
      <x:c r="F31" s="9"/>
      <x:c r="G31" s="8" t="str">
        <x:v>1st, 2nd, &amp; 3rd Best Overall</x:v>
      </x:c>
      <x:c r="H31" s="8" t="str">
        <x:v>Residents, emergency responders and city officials need earlier flood warnings.</x:v>
      </x:c>
      <x:c r="I31" s="8" t="str">
        <x:v>Parallel agents monitor weather, infrastructure and alerts, then coordinate risk notifications.</x:v>
      </x:c>
      <x:c r="J31" s="8" t="str">
        <x:v>Google ADK; A2A; Gemini; Google Cloud; Prisma; Neon; React; TypeScript</x:v>
      </x:c>
      <x:c r="K31" s="8" t="str">
        <x:v>yes</x:v>
      </x:c>
      <x:c r="L31" s="8" t="str">
        <x:v>yes</x:v>
      </x:c>
      <x:c r="M31" s="8" t="str">
        <x:v>yes</x:v>
      </x:c>
      <x:c r="N31" s="8" t="str">
        <x:v>yes</x:v>
      </x:c>
      <x:c r="O31" s="8" t="str">
        <x:v>yes</x:v>
      </x:c>
      <x:c r="P31" s="8" t="str">
        <x:v>not_established</x:v>
      </x:c>
      <x:c r="Q31" s="8" t="str">
        <x:v>yes</x:v>
      </x:c>
      <x:c r="R31" s="8" t="str">
        <x:v>not_established</x:v>
      </x:c>
      <x:c r="S31" s="8" t="str">
        <x:v>Describes functioning multi-agent loop using ADK/A2A. Google Cloud deployment and API data flows specified. No specific inclusion mechanism documented. Flood preparedness for communities is the stated purpose. Frontend demo plus console and agent-status screenshots listed. No physical device described.</x:v>
      </x:c>
      <x:c r="T31" s="8" t="str">
        <x:v>Direct city-system connections, SMS/push delivery and wider model training are future work; forecast accuracy is unverified.</x:v>
      </x:c>
      <x:c r="U31" s="11" t="str">
        <x:v>https://devpost.com/software/floodguard-okgzty</x:v>
      </x:c>
      <x:c r="V31" s="10" t="n">
        <x:v>46290.5</x:v>
      </x:c>
    </x:row>
    <x:row r="32" ht="85" customHeight="1">
      <x:c r="A32" s="8" t="str">
        <x:v>P31</x:v>
      </x:c>
      <x:c r="B32" s="9" t="n">
        <x:v>2025</x:v>
      </x:c>
      <x:c r="C32" s="8" t="str">
        <x:v>overall</x:v>
      </x:c>
      <x:c r="D32" s="8" t="str">
        <x:v>Lumi Lens</x:v>
      </x:c>
      <x:c r="E32" s="8" t="str">
        <x:v>overall</x:v>
      </x:c>
      <x:c r="F32" s="9"/>
      <x:c r="G32" s="8" t="str">
        <x:v>1st, 2nd, &amp; 3rd Best Overall</x:v>
      </x:c>
      <x:c r="H32" s="8" t="str">
        <x:v>Neurodivergent users navigating emotionally difficult social situations.</x:v>
      </x:c>
      <x:c r="I32" s="8" t="str">
        <x:v>An emotion input drives generated supportive dialogue and playful phone or glasses overlays.</x:v>
      </x:c>
      <x:c r="J32" s="8" t="str">
        <x:v>Gemini API; Swift; Python; Raspberry Pi; DeepFace; OLED display</x:v>
      </x:c>
      <x:c r="K32" s="8" t="str">
        <x:v>yes</x:v>
      </x:c>
      <x:c r="L32" s="8" t="str">
        <x:v>yes</x:v>
      </x:c>
      <x:c r="M32" s="8" t="str">
        <x:v>yes</x:v>
      </x:c>
      <x:c r="N32" s="8" t="str">
        <x:v>yes</x:v>
      </x:c>
      <x:c r="O32" s="8" t="str">
        <x:v>yes</x:v>
      </x:c>
      <x:c r="P32" s="8" t="str">
        <x:v>yes</x:v>
      </x:c>
      <x:c r="Q32" s="8" t="str">
        <x:v>yes</x:v>
      </x:c>
      <x:c r="R32" s="8" t="str">
        <x:v>yes</x:v>
      </x:c>
      <x:c r="S32" s="8" t="str">
        <x:v>Gemini generates adaptive dialogue. Gemini API integration explicitly described. Designed to support neurodivergent social interaction. Assistive support and reduced social stress are stated goals. Working camera overlay UI and simulation demo described. Prototype glasses, Raspberry Pi and display documented.</x:v>
      </x:c>
      <x:c r="T32" s="8" t="str">
        <x:v>Live emotion detection encountered blockers; the demo used simulation. User studies are future work, so benefit is an intended outcome.</x:v>
      </x:c>
      <x:c r="U32" s="11" t="str">
        <x:v>https://devpost.com/software/magical-girl-os</x:v>
      </x:c>
      <x:c r="V32" s="10" t="n">
        <x:v>46290.5</x:v>
      </x:c>
    </x:row>
    <x:row r="33" ht="85" customHeight="1">
      <x:c r="A33" s="8" t="str">
        <x:v>P32</x:v>
      </x:c>
      <x:c r="B33" s="9" t="n">
        <x:v>2025</x:v>
      </x:c>
      <x:c r="C33" s="8" t="str">
        <x:v>supplementary</x:v>
      </x:c>
      <x:c r="D33" s="8" t="str">
        <x:v>A11y Tools</x:v>
      </x:c>
      <x:c r="E33" s="8" t="str">
        <x:v>overall</x:v>
      </x:c>
      <x:c r="F33" s="9"/>
      <x:c r="G33" s="8" t="str">
        <x:v>Google Cloud</x:v>
      </x:c>
      <x:c r="H33" s="8" t="str">
        <x:v>People with mobility, visual or cognitive impairments face barriers on ordinary web pages.</x:v>
      </x:c>
      <x:c r="I33" s="8" t="str">
        <x:v>Choose extension tools for voice interaction, image description, text simplification, search or font changes.</x:v>
      </x:c>
      <x:c r="J33" s="8" t="str">
        <x:v>Chrome extension; Google ADK; Gemini; FastAPI; Python; JavaScript; Web Audio API</x:v>
      </x:c>
      <x:c r="K33" s="8" t="str">
        <x:v>yes</x:v>
      </x:c>
      <x:c r="L33" s="8" t="str">
        <x:v>yes</x:v>
      </x:c>
      <x:c r="M33" s="8" t="str">
        <x:v>yes</x:v>
      </x:c>
      <x:c r="N33" s="8" t="str">
        <x:v>yes</x:v>
      </x:c>
      <x:c r="O33" s="8" t="str">
        <x:v>yes</x:v>
      </x:c>
      <x:c r="P33" s="8" t="str">
        <x:v>not_established</x:v>
      </x:c>
      <x:c r="Q33" s="8" t="str">
        <x:v>yes</x:v>
      </x:c>
      <x:c r="R33" s="8" t="str">
        <x:v>yes</x:v>
      </x:c>
      <x:c r="S33" s="8" t="str">
        <x:v>LLM interprets input and fills forms through an ADK loop. Gemini API and streamed audio integration documented. Five accessibility functions address stated impairments. Broader access to web content is the purpose. Extension popup and main-UI screenshot described. No additional physical device documented.</x:v>
      </x:c>
      <x:c r="T33" s="8" t="str">
        <x:v>Quota failures affected testing; Chrome speech fallback exists; search navigation remained incomplete.</x:v>
      </x:c>
      <x:c r="U33" s="11" t="str">
        <x:v>https://devpost.com/software/a11y-b8xg5i</x:v>
      </x:c>
      <x:c r="V33" s="10" t="n">
        <x:v>46290.5</x:v>
      </x:c>
    </x:row>
    <x:row r="34" ht="98" customHeight="1">
      <x:c r="A34" s="8" t="str">
        <x:v>P33</x:v>
      </x:c>
      <x:c r="B34" s="9" t="n">
        <x:v>2025</x:v>
      </x:c>
      <x:c r="C34" s="8" t="str">
        <x:v>supplementary</x:v>
      </x:c>
      <x:c r="D34" s="8" t="str">
        <x:v>Agent Zero</x:v>
      </x:c>
      <x:c r="E34" s="8" t="str">
        <x:v>overall</x:v>
      </x:c>
      <x:c r="F34" s="9"/>
      <x:c r="G34" s="8" t="str">
        <x:v>Capital One</x:v>
      </x:c>
      <x:c r="H34" s="8" t="str">
        <x:v>Individuals and small businesses need help identifying suspicious invoices.</x:v>
      </x:c>
      <x:c r="I34" s="8" t="str">
        <x:v>Route invoice checks to specialized agents and aggregate risk scores into a readable assessment.</x:v>
      </x:c>
      <x:c r="J34" s="8" t="str">
        <x:v>React; TypeScript; FastAPI; BigQuery; Gemini; TensorFlow; YOLOv11; PyArrow</x:v>
      </x:c>
      <x:c r="K34" s="8" t="str">
        <x:v>yes</x:v>
      </x:c>
      <x:c r="L34" s="8" t="str">
        <x:v>yes</x:v>
      </x:c>
      <x:c r="M34" s="8" t="str">
        <x:v>yes</x:v>
      </x:c>
      <x:c r="N34" s="8" t="str">
        <x:v>yes</x:v>
      </x:c>
      <x:c r="O34" s="8" t="str">
        <x:v>yes</x:v>
      </x:c>
      <x:c r="P34" s="8" t="str">
        <x:v>not_established</x:v>
      </x:c>
      <x:c r="Q34" s="8" t="str">
        <x:v>yes</x:v>
      </x:c>
      <x:c r="R34" s="8" t="str">
        <x:v>yes</x:v>
      </x:c>
      <x:c r="S34" s="8" t="str">
        <x:v>Specialized agents assess invoice risks with trained models. Gemini and BigQuery are listed backend technologies. Aims to assist people unable to afford financial professionals. Financial-scam prevention and access are stated motivations. React frontend and concise user-facing assessment described. No additional physical device documented.</x:v>
      </x:c>
      <x:c r="T34" s="8" t="str">
        <x:v>Accuracy and speed improvement claims lack public evaluation numbers on this page; financial protection is an intended benefit.</x:v>
      </x:c>
      <x:c r="U34" s="11" t="str">
        <x:v>https://devpost.com/software/agentzero-tnh9p3</x:v>
      </x:c>
      <x:c r="V34" s="10" t="n">
        <x:v>46290.5</x:v>
      </x:c>
    </x:row>
    <x:row r="35" ht="98" customHeight="1">
      <x:c r="A35" s="8" t="str">
        <x:v>P34</x:v>
      </x:c>
      <x:c r="B35" s="9" t="n">
        <x:v>2025</x:v>
      </x:c>
      <x:c r="C35" s="8" t="str">
        <x:v>supplementary</x:v>
      </x:c>
      <x:c r="D35" s="8" t="str">
        <x:v>GreenLight</x:v>
      </x:c>
      <x:c r="E35" s="8" t="str">
        <x:v>overall</x:v>
      </x:c>
      <x:c r="F35" s="9"/>
      <x:c r="G35" s="8" t="str">
        <x:v>State Farm</x:v>
      </x:c>
      <x:c r="H35" s="8" t="str">
        <x:v>Drivers need actionable learning from unsafe driving incidents.</x:v>
      </x:c>
      <x:c r="I35" s="8" t="str">
        <x:v>Upload footage, analyze an incident, display a 3D reconstruction and answer tailored safety quizzes.</x:v>
      </x:c>
      <x:c r="J35" s="8" t="str">
        <x:v>Gemini; Google ADK; Three.js; React; Python; FastAPI; Firebase; Figma</x:v>
      </x:c>
      <x:c r="K35" s="8" t="str">
        <x:v>yes</x:v>
      </x:c>
      <x:c r="L35" s="8" t="str">
        <x:v>yes</x:v>
      </x:c>
      <x:c r="M35" s="8" t="str">
        <x:v>yes</x:v>
      </x:c>
      <x:c r="N35" s="8" t="str">
        <x:v>yes</x:v>
      </x:c>
      <x:c r="O35" s="8" t="str">
        <x:v>yes</x:v>
      </x:c>
      <x:c r="P35" s="8" t="str">
        <x:v>not_established</x:v>
      </x:c>
      <x:c r="Q35" s="8" t="str">
        <x:v>yes</x:v>
      </x:c>
      <x:c r="R35" s="8" t="str">
        <x:v>not_established</x:v>
      </x:c>
      <x:c r="S35" s="8" t="str">
        <x:v>Gemini analyzes footage and generates educational simulations. Gemini and Firebase integrations specified. No specific inclusion mechanism documented. Safer driving education is the stated purpose. Dashboard, 3D simulations and quizzes shown in screenshots. Live phone-dashcam feature was cut; prototype uses uploaded files.</x:v>
      </x:c>
      <x:c r="T35" s="8" t="str">
        <x:v>Real-time dashcam analysis was deferred; generated output reliability required prompt refinement. Safety effectiveness is not independently demonstrated.</x:v>
      </x:c>
      <x:c r="U35" s="11" t="str">
        <x:v>https://devpost.com/software/greenlight-idnv6o</x:v>
      </x:c>
      <x:c r="V35" s="10" t="n">
        <x:v>46290.5</x:v>
      </x:c>
    </x:row>
    <x:row r="36" ht="85" customHeight="1">
      <x:c r="A36" s="8" t="str">
        <x:v>P35</x:v>
      </x:c>
      <x:c r="B36" s="9" t="n">
        <x:v>2025</x:v>
      </x:c>
      <x:c r="C36" s="8" t="str">
        <x:v>supplementary</x:v>
      </x:c>
      <x:c r="D36" s="8" t="str">
        <x:v>Happy Head</x:v>
      </x:c>
      <x:c r="E36" s="8" t="str">
        <x:v>overall</x:v>
      </x:c>
      <x:c r="F36" s="9"/>
      <x:c r="G36" s="8" t="str">
        <x:v>Best First-Time Hacker</x:v>
      </x:c>
      <x:c r="H36" s="8" t="str">
        <x:v>Coaches, athletes and medical staff may miss potentially harmful sporting impacts.</x:v>
      </x:c>
      <x:c r="I36" s="8" t="str">
        <x:v>Sense acceleration and rotation, trigger display/audio alerts and log events for web review.</x:v>
      </x:c>
      <x:c r="J36" s="8" t="str">
        <x:v>TI LaunchPad; BMI160 IMU; LCD; MediaPipe FaceMesh; OpenCV; Next.js; Supabase; Prisma</x:v>
      </x:c>
      <x:c r="K36" s="8" t="str">
        <x:v>yes</x:v>
      </x:c>
      <x:c r="L36" s="8" t="str">
        <x:v>yes</x:v>
      </x:c>
      <x:c r="M36" s="8" t="str">
        <x:v>yes</x:v>
      </x:c>
      <x:c r="N36" s="8" t="str">
        <x:v>yes</x:v>
      </x:c>
      <x:c r="O36" s="8" t="str">
        <x:v>yes</x:v>
      </x:c>
      <x:c r="P36" s="8" t="str">
        <x:v>yes</x:v>
      </x:c>
      <x:c r="Q36" s="8" t="str">
        <x:v>yes</x:v>
      </x:c>
      <x:c r="R36" s="8" t="str">
        <x:v>not_established</x:v>
      </x:c>
      <x:c r="S36" s="8" t="str">
        <x:v>Camera component uses MediaPipe FaceMesh detection. Supabase stores sensor-event records. No disability-specific mechanism documented. Athlete safety is the stated purpose. Website provides charts, tables and event filtering. Microcontroller, motion sensor, LCD and camera specified.</x:v>
      </x:c>
      <x:c r="T36" s="8" t="str">
        <x:v>A monitoring prototype, not a validated diagnostic device; wireless hardware and correlation with diagnosed concussions are future work.</x:v>
      </x:c>
      <x:c r="U36" s="11" t="str">
        <x:v>https://devpost.com/software/happy-head</x:v>
      </x:c>
      <x:c r="V36" s="10" t="n">
        <x:v>46290.5</x:v>
      </x:c>
    </x:row>
    <x:row r="37" ht="85" customHeight="1">
      <x:c r="A37" s="8" t="str">
        <x:v>P36</x:v>
      </x:c>
      <x:c r="B37" s="9" t="n">
        <x:v>2025</x:v>
      </x:c>
      <x:c r="C37" s="8" t="str">
        <x:v>supplementary</x:v>
      </x:c>
      <x:c r="D37" s="8" t="str">
        <x:v>Quests and Conflicts VR</x:v>
      </x:c>
      <x:c r="E37" s="8" t="str">
        <x:v>overall</x:v>
      </x:c>
      <x:c r="F37" s="9"/>
      <x:c r="G37" s="8" t="str">
        <x:v>Netflix</x:v>
      </x:c>
      <x:c r="H37" s="8" t="str">
        <x:v>Players seeking branching, immersive tabletop-inspired entertainment.</x:v>
      </x:c>
      <x:c r="I37" s="8" t="str">
        <x:v>Interact with a VR narrative whose paths respond to player choices.</x:v>
      </x:c>
      <x:c r="J37" s="8" t="str">
        <x:v>Unity; Blender; Mixamo; C#; Quest 3; VR</x:v>
      </x:c>
      <x:c r="K37" s="8" t="str">
        <x:v>yes</x:v>
      </x:c>
      <x:c r="L37" s="8" t="str">
        <x:v>yes</x:v>
      </x:c>
      <x:c r="M37" s="8" t="str">
        <x:v>yes</x:v>
      </x:c>
      <x:c r="N37" s="8" t="str">
        <x:v>not_established</x:v>
      </x:c>
      <x:c r="O37" s="8" t="str">
        <x:v>not_established</x:v>
      </x:c>
      <x:c r="P37" s="8" t="str">
        <x:v>yes</x:v>
      </x:c>
      <x:c r="Q37" s="8" t="str">
        <x:v>not_established</x:v>
      </x:c>
      <x:c r="R37" s="8" t="str">
        <x:v>not_established</x:v>
      </x:c>
      <x:c r="S37" s="8" t="str">
        <x:v>No runtime AI documented. Creation tools named, but no runtime external service established. No specific inclusion mechanism documented. Entertainment is described; no public-benefit goal established. VR interaction MVP and game-scene screenshots documented. Quest 3 and Oculus VR device tags appear; not custom hardware.</x:v>
      </x:c>
      <x:c r="T37" s="8" t="str">
        <x:v>Team describes an MVP; store publication remained a future plan. This is a sponsor-winning entertainment workflow without documented runtime AI or a social-impact aim.</x:v>
      </x:c>
      <x:c r="U37" s="11" t="str">
        <x:v>https://devpost.com/software/quests-and-conflicts-vr</x:v>
      </x:c>
      <x:c r="V37" s="10" t="n">
        <x:v>46290.5</x:v>
      </x:c>
    </x:row>
  </x:sheetData>
  <x:conditionalFormatting sqref="K2:R37">
    <x:cfRule type="cellIs" dxfId="0" priority="1" operator="equal">
      <x:formula>"yes"</x:formula>
    </x:cfRule>
    <x:cfRule type="cellIs" dxfId="1" priority="2" operator="equal">
      <x:formula>"not_established"</x:formula>
    </x:cfRule>
  </x:conditionalFormatting>
  <x:dataValidations count="2">
    <x:dataValidation type="list" sqref="K2:R37">
      <x:formula1>"yes,not_established"</x:formula1>
    </x:dataValidation>
    <x:dataValidation type="list" sqref="C2:C37">
      <x:formula1>"overall,supplementary"</x:formula1>
    </x:dataValidation>
  </x:dataValidations>
  <x:pageMargins left="0.7" right="0.7" top="0.75" bottom="0.75" header="0.3" footer="0.3"/>
  <x:tableParts count="1">
    <x:tablePart xmlns:r="http://schemas.openxmlformats.org/officeDocument/2006/relationships" r:id="Rf9c1f8f1188b4f11"/>
  </x:tableParts>
</x:worksheet>
</file>

<file path=xl/worksheets/sheet3.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9" hidden="0" customWidth="1"/>
    <x:col min="2" max="2" width="24" hidden="0" customWidth="1"/>
    <x:col min="3" max="3" width="44" hidden="0" customWidth="1"/>
    <x:col min="4" max="4" width="18" hidden="0" customWidth="1"/>
    <x:col min="5" max="5" width="18" hidden="0" customWidth="1"/>
    <x:col min="6" max="6" width="19" hidden="0" customWidth="1"/>
    <x:col min="7" max="7" width="46" hidden="0" customWidth="1"/>
    <x:col min="8" max="8" width="18" hidden="0" customWidth="1"/>
    <x:col min="9" max="9" width="18" hidden="0" customWidth="1"/>
    <x:col min="10" max="10" width="60" hidden="0" customWidth="1"/>
    <x:col min="11" max="11" width="52" hidden="0" customWidth="1"/>
    <x:col min="12" max="12" width="21" hidden="0" customWidth="1"/>
    <x:col min="13" max="13" width="90" hidden="0" customWidth="1"/>
    <x:col min="14" max="14" width="62" hidden="0" customWidth="1"/>
    <x:col min="15" max="15" width="62" hidden="0" customWidth="1"/>
  </x:cols>
  <x:sheetData>
    <x:row r="1" ht="34" customHeight="1">
      <x:c r="A1" s="6" t="str">
        <x:v>Year</x:v>
      </x:c>
      <x:c r="B1" s="6" t="str">
        <x:v>Status at cutoff</x:v>
      </x:c>
      <x:c r="C1" s="6" t="str">
        <x:v>Dates / date caveats</x:v>
      </x:c>
      <x:c r="D1" s="6" t="str">
        <x:v>Devpost participants</x:v>
      </x:c>
      <x:c r="E1" s="6" t="str">
        <x:v>Gallery submissions</x:v>
      </x:c>
      <x:c r="F1" s="6" t="str">
        <x:v>Displayed prizes (USD)</x:v>
      </x:c>
      <x:c r="G1" s="6" t="str">
        <x:v>Prize caveat</x:v>
      </x:c>
      <x:c r="H1" s="6" t="str">
        <x:v>Overall cohort count</x:v>
      </x:c>
      <x:c r="I1" s="6" t="str">
        <x:v>Supplementary count</x:v>
      </x:c>
      <x:c r="J1" s="6" t="str">
        <x:v>Published criteria</x:v>
      </x:c>
      <x:c r="K1" s="6" t="str">
        <x:v>Overall-prize prose</x:v>
      </x:c>
      <x:c r="L1" s="6" t="str">
        <x:v>Winner badges observed</x:v>
      </x:c>
      <x:c r="M1" s="6" t="str">
        <x:v>Coverage / edition notes</x:v>
      </x:c>
      <x:c r="N1" s="6" t="str">
        <x:v>Event source URL</x:v>
      </x:c>
      <x:c r="O1" s="6" t="str">
        <x:v>Gallery source URL</x:v>
      </x:c>
    </x:row>
    <x:row r="2" ht="15" hidden="0" customHeight="1">
      <x:c r="A2" s="8" t="n">
        <x:v>2017</x:v>
      </x:c>
      <x:c r="B2" s="8" t="str">
        <x:v>Completed</x:v>
      </x:c>
      <x:c r="C2" s="8" t="str">
        <x:v>Not collected</x:v>
      </x:c>
      <x:c r="D2" s="12"/>
      <x:c r="E2" s="12"/>
      <x:c r="F2" s="13"/>
      <x:c r="G2" s="8" t="str">
        <x:v>Not collected</x:v>
      </x:c>
      <x:c r="H2" s="8" t="n">
        <x:f>COUNTIFS('Projects'!$B$2:$B$37,$A2,'Projects'!$C$2:$C$37,"overall")</x:f>
        <x:v>3</x:v>
      </x:c>
      <x:c r="I2" s="8" t="n">
        <x:f>COUNTIFS('Projects'!$B$2:$B$37,$A2,'Projects'!$C$2:$C$37,"supplementary")</x:f>
        <x:v>0</x:v>
      </x:c>
      <x:c r="J2" s="8" t="str">
        <x:v>Overall Judging Criteria does not publish a detailed rubric.</x:v>
      </x:c>
      <x:c r="K2" s="8" t="str"/>
      <x:c r="L2" s="8"/>
      <x:c r="M2" s="8" t="str"/>
      <x:c r="N2" s="8" t="str">
        <x:v>https://shellhacks-2017.devpost.com/</x:v>
      </x:c>
      <x:c r="O2" s="8" t="str">
        <x:v>https://shellhacks-2017.devpost.com/project-gallery</x:v>
      </x:c>
    </x:row>
    <x:row r="3" ht="15" hidden="0" customHeight="1">
      <x:c r="A3" s="8" t="n">
        <x:v>2018</x:v>
      </x:c>
      <x:c r="B3" s="8" t="str">
        <x:v>Completed</x:v>
      </x:c>
      <x:c r="C3" s="8" t="str">
        <x:v>Not collected</x:v>
      </x:c>
      <x:c r="D3" s="12"/>
      <x:c r="E3" s="12"/>
      <x:c r="F3" s="13"/>
      <x:c r="G3" s="8" t="str">
        <x:v>Not collected</x:v>
      </x:c>
      <x:c r="H3" s="8" t="n">
        <x:f>COUNTIFS('Projects'!$B$2:$B$37,$A3,'Projects'!$C$2:$C$37,"overall")</x:f>
        <x:v>4</x:v>
      </x:c>
      <x:c r="I3" s="8" t="n">
        <x:f>COUNTIFS('Projects'!$B$2:$B$37,$A3,'Projects'!$C$2:$C$37,"supplementary")</x:f>
        <x:v>0</x:v>
      </x:c>
      <x:c r="J3" s="8" t="str">
        <x:v>Design; Creativity; Technology.</x:v>
      </x:c>
      <x:c r="K3" s="8" t="str"/>
      <x:c r="L3" s="8"/>
      <x:c r="M3" s="8" t="str">
        <x:v>Two projects share Third Place; both included.</x:v>
      </x:c>
      <x:c r="N3" s="8" t="str">
        <x:v>https://shellhacks-2018.devpost.com/</x:v>
      </x:c>
      <x:c r="O3" s="8" t="str">
        <x:v>https://shellhacks-2018.devpost.com/project-gallery</x:v>
      </x:c>
    </x:row>
    <x:row r="4" ht="24" hidden="0" customHeight="1">
      <x:c r="A4" s="8" t="n">
        <x:v>2019</x:v>
      </x:c>
      <x:c r="B4" s="8" t="str">
        <x:v>Completed</x:v>
      </x:c>
      <x:c r="C4" s="8" t="str">
        <x:v>Event description gives September 20–22, 2019; Devpost date header gives September 21–22.</x:v>
      </x:c>
      <x:c r="D4" s="12" t="n">
        <x:v>186</x:v>
      </x:c>
      <x:c r="E4" s="12" t="n">
        <x:v>61</x:v>
      </x:c>
      <x:c r="F4" s="13" t="n">
        <x:v>11150</x:v>
      </x:c>
      <x:c r="G4" s="8" t="str">
        <x:v>Displayed total; not verified cash paid</x:v>
      </x:c>
      <x:c r="H4" s="8" t="n">
        <x:f>COUNTIFS('Projects'!$B$2:$B$37,$A4,'Projects'!$C$2:$C$37,"overall")</x:f>
        <x:v>3</x:v>
      </x:c>
      <x:c r="I4" s="8" t="n">
        <x:f>COUNTIFS('Projects'!$B$2:$B$37,$A4,'Projects'!$C$2:$C$37,"supplementary")</x:f>
        <x:v>0</x:v>
      </x:c>
      <x:c r="J4" s="8" t="str">
        <x:v>No substantive rubric published in the overview. Generic Judging Criteria says to submit the project; overall award descriptions do not explain scoring.</x:v>
      </x:c>
      <x:c r="K4" s="8" t="str"/>
      <x:c r="L4" s="8" t="n">
        <x:v>18</x:v>
      </x:c>
      <x:c r="M4" s="8" t="str">
        <x:v>All three overall places verified. Gallery page one shows 18 winner-labelled projects; a complete award census was not performed. Devpost participant count is not event attendance.</x:v>
      </x:c>
      <x:c r="N4" s="8" t="str">
        <x:v>https://shellhacks-2019.devpost.com/</x:v>
      </x:c>
      <x:c r="O4" s="8" t="str">
        <x:v>https://shellhacks-2019.devpost.com/project-gallery</x:v>
      </x:c>
    </x:row>
    <x:row r="5" ht="36" hidden="0" customHeight="1">
      <x:c r="A5" s="8" t="n">
        <x:v>2020</x:v>
      </x:c>
      <x:c r="B5" s="8" t="str">
        <x:v>Completed</x:v>
      </x:c>
      <x:c r="C5" s="8" t="str">
        <x:v>Devpost header: September 26–27, 2020; online.</x:v>
      </x:c>
      <x:c r="D5" s="12" t="n">
        <x:v>564</x:v>
      </x:c>
      <x:c r="E5" s="12" t="n">
        <x:v>222</x:v>
      </x:c>
      <x:c r="F5" s="13" t="n">
        <x:v>18192</x:v>
      </x:c>
      <x:c r="G5" s="8" t="str">
        <x:v>Displayed total; not verified cash paid</x:v>
      </x:c>
      <x:c r="H5" s="8" t="n">
        <x:f>COUNTIFS('Projects'!$B$2:$B$37,$A5,'Projects'!$C$2:$C$37,"overall")</x:f>
        <x:v>3</x:v>
      </x:c>
      <x:c r="I5" s="8" t="n">
        <x:f>COUNTIFS('Projects'!$B$2:$B$37,$A5,'Projects'!$C$2:$C$37,"supplementary")</x:f>
        <x:v>0</x:v>
      </x:c>
      <x:c r="J5" s="8" t="str">
        <x:v>Creativity, execution and impact; all submissions automatically entered for overall categories.</x:v>
      </x:c>
      <x:c r="K5" s="8" t="str"/>
      <x:c r="L5" s="8"/>
      <x:c r="M5" s="8" t="str">
        <x:v>All three overall places verified. Full unique award count not established; the gallery intermittently returned a JavaScript verification page, but indexed results and each podium project page were readable. Wolfram Award is broad recognition for the Top 30 and explicitly requires neither Wolfram use nor specific criteria. Do not treat it as evidence of Wolfram integration.</x:v>
      </x:c>
      <x:c r="N5" s="8" t="str">
        <x:v>https://shellhacks-2020.devpost.com/</x:v>
      </x:c>
      <x:c r="O5" s="8" t="str">
        <x:v>https://shellhacks-2020.devpost.com/project-gallery</x:v>
      </x:c>
    </x:row>
    <x:row r="6" ht="36" hidden="0" customHeight="1">
      <x:c r="A6" s="8" t="n">
        <x:v>2021</x:v>
      </x:c>
      <x:c r="B6" s="8" t="str">
        <x:v>Completed</x:v>
      </x:c>
      <x:c r="C6" s="8" t="str">
        <x:v>Devpost header: September 24–26, 2021; online.</x:v>
      </x:c>
      <x:c r="D6" s="12" t="n">
        <x:v>751</x:v>
      </x:c>
      <x:c r="E6" s="12" t="n">
        <x:v>265</x:v>
      </x:c>
      <x:c r="F6" s="13" t="n">
        <x:v>23147</x:v>
      </x:c>
      <x:c r="G6" s="8" t="str">
        <x:v>Displayed total; not verified cash paid</x:v>
      </x:c>
      <x:c r="H6" s="8" t="n">
        <x:f>COUNTIFS('Projects'!$B$2:$B$37,$A6,'Projects'!$C$2:$C$37,"overall")</x:f>
        <x:v>3</x:v>
      </x:c>
      <x:c r="I6" s="8" t="n">
        <x:f>COUNTIFS('Projects'!$B$2:$B$37,$A6,'Projects'!$C$2:$C$37,"supplementary")</x:f>
        <x:v>0</x:v>
      </x:c>
      <x:c r="J6" s="8" t="str">
        <x:v>Creativity, execution and impact; all submissions automatically entered for overall categories. The generic Judging Criteria section directs users to individual challenge descriptions.</x:v>
      </x:c>
      <x:c r="K6" s="8" t="str"/>
      <x:c r="L6" s="8" t="n">
        <x:v>21</x:v>
      </x:c>
      <x:c r="M6" s="8" t="str">
        <x:v>All three overall places verified. Gallery page one shows 21 winner-labelled projects before nonwinners; full census not performed. Participant count is platform registration, not attendance.</x:v>
      </x:c>
      <x:c r="N6" s="8" t="str">
        <x:v>https://shellhacks2021.devpost.com/</x:v>
      </x:c>
      <x:c r="O6" s="8" t="str">
        <x:v>https://shellhacks2021.devpost.com/project-gallery</x:v>
      </x:c>
    </x:row>
    <x:row r="7" ht="24" hidden="0" customHeight="1">
      <x:c r="A7" s="8" t="n">
        <x:v>2022</x:v>
      </x:c>
      <x:c r="B7" s="8" t="str">
        <x:v>Completed</x:v>
      </x:c>
      <x:c r="C7" s="8" t="str">
        <x:v>2022-09-10 to 2022-09-11</x:v>
      </x:c>
      <x:c r="D7" s="12" t="n">
        <x:v>676</x:v>
      </x:c>
      <x:c r="E7" s="12" t="n">
        <x:v>238</x:v>
      </x:c>
      <x:c r="F7" s="13" t="n">
        <x:v>19438</x:v>
      </x:c>
      <x:c r="G7" s="8" t="str">
        <x:v>Displayed total; not verified cash paid</x:v>
      </x:c>
      <x:c r="H7" s="8" t="n">
        <x:f>COUNTIFS('Projects'!$B$2:$B$37,$A7,'Projects'!$C$2:$C$37,"overall")</x:f>
        <x:v>6</x:v>
      </x:c>
      <x:c r="I7" s="8" t="n">
        <x:f>COUNTIFS('Projects'!$B$2:$B$37,$A7,'Projects'!$C$2:$C$37,"supplementary")</x:f>
        <x:v>0</x:v>
      </x:c>
      <x:c r="J7" s="8" t="str">
        <x:v>Creativity; Complexity; Impact</x:v>
      </x:c>
      <x:c r="K7" s="8" t="str"/>
      <x:c r="L7" s="8" t="n">
        <x:v>31</x:v>
      </x:c>
      <x:c r="M7" s="8" t="str">
        <x:v>24 winner badges on gallery page 1 and 7 on page 2; later pages not audited, so use as observed count/minimum, not an established census. Separate First/Second/Third Place and First/Second/Third Place (Virtual) categories.</x:v>
      </x:c>
      <x:c r="N7" s="8" t="str">
        <x:v>https://shellhacks2022.devpost.com/</x:v>
      </x:c>
      <x:c r="O7" s="8" t="str">
        <x:v>https://shellhacks2022.devpost.com/project-gallery</x:v>
      </x:c>
    </x:row>
    <x:row r="8" ht="36" hidden="0" customHeight="1">
      <x:c r="A8" s="8" t="n">
        <x:v>2023</x:v>
      </x:c>
      <x:c r="B8" s="8" t="str">
        <x:v>Completed</x:v>
      </x:c>
      <x:c r="C8" s="8" t="str">
        <x:v>2023-09-15 to 2023-09-17</x:v>
      </x:c>
      <x:c r="D8" s="12" t="n">
        <x:v>798</x:v>
      </x:c>
      <x:c r="E8" s="12" t="n">
        <x:v>232</x:v>
      </x:c>
      <x:c r="F8" s="13" t="n">
        <x:v>21760</x:v>
      </x:c>
      <x:c r="G8" s="8" t="str">
        <x:v>Displayed total; not verified cash paid</x:v>
      </x:c>
      <x:c r="H8" s="8" t="n">
        <x:f>COUNTIFS('Projects'!$B$2:$B$37,$A8,'Projects'!$C$2:$C$37,"overall")</x:f>
        <x:v>3</x:v>
      </x:c>
      <x:c r="I8" s="8" t="n">
        <x:f>COUNTIFS('Projects'!$B$2:$B$37,$A8,'Projects'!$C$2:$C$37,"supplementary")</x:f>
        <x:v>0</x:v>
      </x:c>
      <x:c r="J8" s="8" t="str">
        <x:v>Completion; Originality; Learning; Design; Technology</x:v>
      </x:c>
      <x:c r="K8" s="8" t="str"/>
      <x:c r="L8" s="8" t="n">
        <x:v>38</x:v>
      </x:c>
      <x:c r="M8" s="8" t="str">
        <x:v>24 winner badges on gallery page 1 and 14 on page 2; later pages not audited, so use as observed count/minimum, not an established census. Project pages explicitly identify Second Place Overall and Third Place Overall even though the overview prominently lists Best Overall.</x:v>
      </x:c>
      <x:c r="N8" s="8" t="str">
        <x:v>https://shellhacks-2023.devpost.com/</x:v>
      </x:c>
      <x:c r="O8" s="8" t="str">
        <x:v>https://shellhacks-2023.devpost.com/project-gallery</x:v>
      </x:c>
    </x:row>
    <x:row r="9" ht="36" hidden="0" customHeight="1">
      <x:c r="A9" s="8" t="n">
        <x:v>2024</x:v>
      </x:c>
      <x:c r="B9" s="8" t="str">
        <x:v>Completed</x:v>
      </x:c>
      <x:c r="C9" s="8" t="str">
        <x:v>2024-09-27 to 2024-09-29</x:v>
      </x:c>
      <x:c r="D9" s="12" t="n">
        <x:v>871</x:v>
      </x:c>
      <x:c r="E9" s="12" t="n">
        <x:v>257</x:v>
      </x:c>
      <x:c r="F9" s="13" t="n">
        <x:v>62880</x:v>
      </x:c>
      <x:c r="G9" s="8" t="str">
        <x:v>Displayed total; not verified cash paid</x:v>
      </x:c>
      <x:c r="H9" s="8" t="n">
        <x:f>COUNTIFS('Projects'!$B$2:$B$37,$A9,'Projects'!$C$2:$C$37,"overall")</x:f>
        <x:v>3</x:v>
      </x:c>
      <x:c r="I9" s="8" t="n">
        <x:f>COUNTIFS('Projects'!$B$2:$B$37,$A9,'Projects'!$C$2:$C$37,"supplementary")</x:f>
        <x:v>0</x:v>
      </x:c>
      <x:c r="J9" s="8" t="str">
        <x:v>Completion; Originality; Design; Technology; Practicality</x:v>
      </x:c>
      <x:c r="K9" s="8" t="str">
        <x:v>creativity; execution; impact</x:v>
      </x:c>
      <x:c r="L9" s="8" t="n">
        <x:v>41</x:v>
      </x:c>
      <x:c r="M9" s="8" t="str">
        <x:v>24 winner badges on gallery page 1 and 17 on page 2; later pages not audited, so use as observed count/minimum, not an established census. Overview location field says Online while overall prize descriptions say in-person projects; do not infer event format from that field.</x:v>
      </x:c>
      <x:c r="N9" s="8" t="str">
        <x:v>https://shellhacks2024.devpost.com/</x:v>
      </x:c>
      <x:c r="O9" s="8" t="str">
        <x:v>https://shellhacks2024.devpost.com/project-gallery</x:v>
      </x:c>
    </x:row>
    <x:row r="10" ht="72" hidden="0" customHeight="1">
      <x:c r="A10" s="8" t="n">
        <x:v>2025</x:v>
      </x:c>
      <x:c r="B10" s="8" t="str">
        <x:v>Completed</x:v>
      </x:c>
      <x:c r="C10" s="8" t="str">
        <x:v>2025-09-26 to 2025-09-28</x:v>
      </x:c>
      <x:c r="D10" s="12" t="n">
        <x:v>840</x:v>
      </x:c>
      <x:c r="E10" s="12" t="n">
        <x:v>245</x:v>
      </x:c>
      <x:c r="F10" s="13" t="n">
        <x:v>52790</x:v>
      </x:c>
      <x:c r="G10" s="8" t="str">
        <x:v>$52,790+ in prizes; Advertised Devpost prize value, not verified cash paid; prize descriptions include physical goods, credits and other benefits.</x:v>
      </x:c>
      <x:c r="H10" s="8" t="n">
        <x:f>COUNTIFS('Projects'!$B$2:$B$37,$A10,'Projects'!$C$2:$C$37,"overall")</x:f>
        <x:v>3</x:v>
      </x:c>
      <x:c r="I10" s="8" t="n">
        <x:f>COUNTIFS('Projects'!$B$2:$B$37,$A10,'Projects'!$C$2:$C$37,"supplementary")</x:f>
        <x:v>5</x:v>
      </x:c>
      <x:c r="J10" s="8" t="str">
        <x:v>Completion; Originality; Design; Technology; Practicality</x:v>
      </x:c>
      <x:c r="K10" s="8" t="str">
        <x:v>The event asks judges to assess finish, novelty, appearance, implementation and ease of use. Its overall-prize description additionally emphasizes creativity, execution and impact.</x:v>
      </x:c>
      <x:c r="L10" s="8" t="n">
        <x:v>29</x:v>
      </x:c>
      <x:c r="M10" s="8" t="str">
        <x:v>The same combined award label appears on all three overall winners. Their individual first/second/third ranks are not established by these sources. 24 winner-labelled projects appear on page 1, five more at the beginning of page 2. This is an observed count from those two pages, not a independently verified exhaustive winner census. Attach a GitHub repository to the submission. Google Cloud requires ADK and/or A2A agent architecture; Google and Microsoft solicit AI for social benefit; Netflix asks for branching interactive entertainment; State Farm asks for insurance education; Capital One asks for emerging-technology finance applications. These prompts can influence observed winning-project themes.</x:v>
      </x:c>
      <x:c r="N10" s="8" t="str">
        <x:v>https://shellhacks2025.devpost.com/</x:v>
      </x:c>
      <x:c r="O10" s="8" t="str">
        <x:v>https://shellhacks2025.devpost.com/project-gallery</x:v>
      </x:c>
    </x:row>
    <x:row r="11" ht="36" hidden="0" customHeight="1">
      <x:c r="A11" s="8" t="n">
        <x:v>2026</x:v>
      </x:c>
      <x:c r="B11" s="8" t="str">
        <x:v>Not completed at cutoff</x:v>
      </x:c>
      <x:c r="C11" s="8" t="str">
        <x:v>2026-09-25 to 2026-09-27</x:v>
      </x:c>
      <x:c r="D11" s="12"/>
      <x:c r="E11" s="12"/>
      <x:c r="F11" s="13"/>
      <x:c r="G11" s="8" t="str">
        <x:v>Not collected</x:v>
      </x:c>
      <x:c r="H11" s="8" t="n">
        <x:f>COUNTIFS('Projects'!$B$2:$B$37,$A11,'Projects'!$C$2:$C$37,"overall")</x:f>
        <x:v>0</x:v>
      </x:c>
      <x:c r="I11" s="8" t="n">
        <x:f>COUNTIFS('Projects'!$B$2:$B$37,$A11,'Projects'!$C$2:$C$37,"supplementary")</x:f>
        <x:v>0</x:v>
      </x:c>
      <x:c r="J11" s="8" t="str">
        <x:v>No 2026 scoring rubric or project-specific rules were recovered from the public homepage and inspected FAQ categories. Do not label the 2025 rubric as the 2026 rubric.</x:v>
      </x:c>
      <x:c r="K11" s="8" t="str"/>
      <x:c r="L11" s="8"/>
      <x:c r="M11" s="8" t="str">
        <x:v>The current edition is scheduled September 25-27, 2026. It has not completed at this study's cutoff and has no completed-winner cohort in this report. FIU Graham Center, Miami. In person. Teams 1–4; 36 building hours (Friday 11pm to Sunday 11am). Students and recent graduates within one year from colleges, universities or coding bootcamps are eligible according to the general FAQ.</x:v>
      </x:c>
      <x:c r="N11" s="8" t="str">
        <x:v>https://shellhacks.net/</x:v>
      </x:c>
      <x:c r="O11" s="8" t="str"/>
    </x:row>
  </x:sheetData>
  <x:pageMargins left="0.7" right="0.7" top="0.75" bottom="0.75" header="0.3" footer="0.3"/>
  <x:tableParts count="1">
    <x:tablePart xmlns:r="http://schemas.openxmlformats.org/officeDocument/2006/relationships" r:id="R9abc37a234b347cb"/>
  </x:tableParts>
</x:worksheet>
</file>

<file path=xl/worksheets/sheet4.xml><?xml version="1.0" encoding="utf-8"?>
<x:worksheet xmlns:x="http://schemas.openxmlformats.org/spreadsheetml/2006/main">
  <x:sheetPr>
    <x:tabColor rgb="FF8190A1"/>
  </x:sheetPr>
  <x:sheetViews>
    <x:sheetView showGridLines="0" workbookViewId="0"/>
  </x:sheetViews>
  <x:sheetFormatPr defaultRowHeight="15"/>
  <x:cols>
    <x:col min="1" max="1" width="30" hidden="0" customWidth="1"/>
    <x:col min="2" max="2" width="106" hidden="0" customWidth="1"/>
    <x:col min="3" max="3" width="3" hidden="0" customWidth="1"/>
    <x:col min="4" max="4" width="20" hidden="0" customWidth="1"/>
  </x:cols>
  <x:sheetData>
    <x:row r="1">
      <x:c r="A1" s="2"/>
      <x:c r="B1" s="2"/>
      <x:c r="C1" s="2"/>
      <x:c r="D1" s="2"/>
    </x:row>
    <x:row r="2">
      <x:c r="A2" s="14" t="str">
        <x:v>Study method and codebook</x:v>
      </x:c>
      <x:c r="B2" s="2"/>
      <x:c r="C2" s="2"/>
      <x:c r="D2" s="2"/>
    </x:row>
    <x:row r="3">
      <x:c r="A3" s="15"/>
      <x:c r="B3" s="15"/>
      <x:c r="C3" s="2"/>
      <x:c r="D3" s="2"/>
    </x:row>
    <x:row r="4">
      <x:c r="A4" s="2"/>
      <x:c r="B4" s="2"/>
      <x:c r="C4" s="2"/>
      <x:c r="D4" s="2"/>
    </x:row>
    <x:row r="5" ht="15" hidden="0" customHeight="1">
      <x:c r="A5" s="23" t="str">
        <x:v>Purpose</x:v>
      </x:c>
      <x:c r="B5" s="8" t="str">
        <x:v>Audit and reuse the evidence behind the ShellHacks winners case study.</x:v>
      </x:c>
      <x:c r="C5" s="2"/>
      <x:c r="D5" s="2"/>
    </x:row>
    <x:row r="6" ht="15" hidden="0" customHeight="1">
      <x:c r="A6" s="23" t="str">
        <x:v>Primary cohort</x:v>
      </x:c>
      <x:c r="B6" s="8" t="str">
        <x:v>31 verified overall podium projects across all nine completed editions 2017–2025, including tied/shared 2018 third place and separate 2022 virtual podium.</x:v>
      </x:c>
      <x:c r="C6" s="2"/>
      <x:c r="D6" s="2"/>
    </x:row>
    <x:row r="7" ht="15" hidden="0" customHeight="1">
      <x:c r="A7" s="23" t="str">
        <x:v>Supplementary cohort</x:v>
      </x:c>
      <x:c r="B7" s="8" t="str">
        <x:v>5 purposively chosen 2025 category winners; exclude from primary prevalence rates.</x:v>
      </x:c>
      <x:c r="C7" s="2"/>
      <x:c r="D7" s="2"/>
    </x:row>
    <x:row r="8" ht="15" hidden="0" customHeight="1">
      <x:c r="A8" s="23" t="str">
        <x:v>Unit of analysis</x:v>
      </x:c>
      <x:c r="B8" s="8" t="str">
        <x:v>One winning project in one edition. Multiple award labels remain in one record.</x:v>
      </x:c>
      <x:c r="C8" s="2"/>
      <x:c r="D8" s="2"/>
    </x:row>
    <x:row r="9" ht="15" hidden="0" customHeight="1">
      <x:c r="A9" s="23" t="str">
        <x:v>Cutoff</x:v>
      </x:c>
      <x:c r="B9" s="8" t="str">
        <x:v>2026-09-25</x:v>
      </x:c>
      <x:c r="C9" s="2"/>
      <x:c r="D9" s="2"/>
    </x:row>
    <x:row r="10" ht="15" hidden="0" customHeight="1">
      <x:c r="A10" s="23" t="str">
        <x:v>Award verification</x:v>
      </x:c>
      <x:c r="B10" s="8" t="str">
        <x:v>Exact awards are preserved from public sources. An award label proves the recorded award, not technical effectiveness.</x:v>
      </x:c>
      <x:c r="C10" s="2"/>
      <x:c r="D10" s="2"/>
    </x:row>
    <x:row r="11" ht="24" hidden="0" customHeight="1">
      <x:c r="A11" s="23" t="str">
        <x:v>Capabilities</x:v>
      </x:c>
      <x:c r="B11" s="8" t="str">
        <x:v>yes means publicly documented; not_established combines missing, ambiguous, deferred and expressly excluded features and is not proof of absence. Technical capabilities are self-reported.</x:v>
      </x:c>
      <x:c r="C11" s="2"/>
      <x:c r="D11" s="2"/>
    </x:row>
    <x:row r="12" ht="15" hidden="0" customHeight="1">
      <x:c r="A12" s="23" t="str">
        <x:v>yes</x:v>
      </x:c>
      <x:c r="B12" s="8" t="str">
        <x:v>Publicly documented presence. All feature summaries count this value.</x:v>
      </x:c>
      <x:c r="C12" s="2"/>
      <x:c r="D12" s="2"/>
    </x:row>
    <x:row r="13" ht="15" hidden="0" customHeight="1">
      <x:c r="A13" s="23" t="str">
        <x:v>not_established</x:v>
      </x:c>
      <x:c r="B13" s="8" t="str">
        <x:v>Missing, ambiguous, deferred or excluded evidence. Never interpret it as a demonstrated absence.</x:v>
      </x:c>
      <x:c r="C13" s="2"/>
      <x:c r="D13" s="2"/>
    </x:row>
    <x:row r="14" ht="15" hidden="0" customHeight="1">
      <x:c r="A14" s="23" t="str">
        <x:v>Rates</x:v>
      </x:c>
      <x:c r="B14" s="8" t="str">
        <x:v>Overall feature count divided by the overall cohort count. Supplementary cases are calculated separately.</x:v>
      </x:c>
      <x:c r="C14" s="2"/>
      <x:c r="D14" s="2"/>
    </x:row>
    <x:row r="15" ht="15" hidden="0" customHeight="1">
      <x:c r="A15" s="23" t="str">
        <x:v>Missing numeric fields</x:v>
      </x:c>
      <x:c r="B15" s="8" t="str">
        <x:v>Blank means not collected or not separately established. Zero in a cohort-count formula means no included project.</x:v>
      </x:c>
      <x:c r="C15" s="2"/>
      <x:c r="D15" s="2"/>
    </x:row>
    <x:row r="16" ht="24" hidden="0" customHeight="1">
      <x:c r="A16" s="23" t="str">
        <x:v>Rank fields</x:v>
      </x:c>
      <x:c r="B16" s="8" t="str">
        <x:v>Numeric rank is retained only where populated in the normalized dataset. Exact award text remains authoritative. The 2025 combined podium award does not establish individual ranks.</x:v>
      </x:c>
      <x:c r="C16" s="2"/>
      <x:c r="D16" s="2"/>
    </x:row>
    <x:row r="17" ht="15" hidden="0" customHeight="1">
      <x:c r="A17" s="23" t="str">
        <x:v>Event metrics</x:v>
      </x:c>
      <x:c r="B17" s="8" t="str">
        <x:v>Devpost participants are platform counts, not verified attendance. Displayed prize totals include goods and benefits, not verified cash payouts.</x:v>
      </x:c>
      <x:c r="C17" s="2"/>
      <x:c r="D17" s="2"/>
    </x:row>
    <x:row r="18" ht="15" hidden="0" customHeight="1">
      <x:c r="A18" s="23" t="str">
        <x:v>Winner counts</x:v>
      </x:c>
      <x:c r="B18" s="8" t="str">
        <x:v>Observed gallery badge counts are partial observations, not a complete census of unique winning projects.</x:v>
      </x:c>
      <x:c r="C18" s="2"/>
      <x:c r="D18" s="2"/>
    </x:row>
    <x:row r="19" ht="24" hidden="0" customHeight="1">
      <x:c r="A19" s="23" t="str">
        <x:v>Updating records</x:v>
      </x:c>
      <x:c r="B19" s="8" t="str">
        <x:v>Edit existing source rows and code fields in Projects; formulas recalculate. Adding records requires extending summary COUNTIFS ranges beyond row 37 and the table. Use only yes / not_established codes.</x:v>
      </x:c>
      <x:c r="C19" s="2"/>
      <x:c r="D19" s="2"/>
    </x:row>
    <x:row r="20" ht="15" hidden="0" customHeight="1">
      <x:c r="A20" s="23" t="str">
        <x:v>Interpretation</x:v>
      </x:c>
      <x:c r="B20" s="8" t="str">
        <x:v>Winner-only, purposive evidence supports descriptive patterns. No losing-project comparison, causal effect or probability of winning is estimated.</x:v>
      </x:c>
      <x:c r="C20" s="2"/>
      <x:c r="D20" s="2"/>
    </x:row>
    <x:row r="21" ht="24" hidden="0" customHeight="1">
      <x:c r="A21" s="23" t="str">
        <x:v>Current edition</x:v>
      </x:c>
      <x:c r="B21" s="8" t="str">
        <x:v>2026 was not completed at the cutoff and contributes no winner records. Its current scoring rubric was not recovered; historical criteria must not be presented as current rules.</x:v>
      </x:c>
      <x:c r="C21" s="2"/>
      <x:c r="D21" s="2"/>
    </x:row>
    <x:row r="22">
      <x:c r="A22" s="2"/>
      <x:c r="B22" s="2"/>
      <x:c r="C22" s="2"/>
      <x:c r="D22" s="2"/>
    </x:row>
    <x:row r="23">
      <x:c r="A23" s="2"/>
      <x:c r="B23" s="2"/>
      <x:c r="C23" s="2"/>
      <x:c r="D23" s="2"/>
    </x:row>
    <x:row r="24" ht="34" customHeight="1">
      <x:c r="A24" s="6" t="str">
        <x:v>Feature field</x:v>
      </x:c>
      <x:c r="B24" s="6" t="str">
        <x:v>Operational definition</x:v>
      </x:c>
      <x:c r="C24" s="2"/>
      <x:c r="D24" s="2"/>
    </x:row>
    <x:row r="25" ht="34" customHeight="1">
      <x:c r="A25" s="7" t="str">
        <x:v>concrete_task</x:v>
      </x:c>
      <x:c r="B25" s="7" t="str">
        <x:v>A specific task, game or engineering challenge is described.</x:v>
      </x:c>
      <x:c r="C25" s="2"/>
      <x:c r="D25" s="2"/>
    </x:row>
    <x:row r="26" ht="34" customHeight="1">
      <x:c r="A26" s="7" t="str">
        <x:v>described_workflow</x:v>
      </x:c>
      <x:c r="B26" s="7" t="str">
        <x:v>The record describes an input-to-output workflow; this does not prove complete implementation.</x:v>
      </x:c>
      <x:c r="C26" s="2"/>
      <x:c r="D26" s="2"/>
    </x:row>
    <x:row r="27" ht="34" customHeight="1">
      <x:c r="A27" s="7" t="str">
        <x:v>visual_demo_interface</x:v>
      </x:c>
      <x:c r="B27" s="7" t="str">
        <x:v>A visual interface, interactive view or physical demonstrator is described; design quality is untested.</x:v>
      </x:c>
      <x:c r="C27" s="2"/>
      <x:c r="D27" s="2"/>
    </x:row>
    <x:row r="28" ht="34" customHeight="1">
      <x:c r="A28" s="7" t="str">
        <x:v>external_api_service</x:v>
      </x:c>
      <x:c r="B28" s="7" t="str">
        <x:v>Named external data/API, hosting, database or tunnel service; local libraries/private interfaces excluded.</x:v>
      </x:c>
      <x:c r="C28" s="2"/>
      <x:c r="D28" s="2"/>
    </x:row>
    <x:row r="29" ht="34" customHeight="1">
      <x:c r="A29" s="7" t="str">
        <x:v>social_benefit</x:v>
      </x:c>
      <x:c r="B29" s="7" t="str">
        <x:v>Broad stated goal: education, health, inclusion, community economy, disaster preparedness or environment.</x:v>
      </x:c>
      <x:c r="C29" s="2"/>
      <x:c r="D29" s="2"/>
    </x:row>
    <x:row r="30" ht="34" customHeight="1">
      <x:c r="A30" s="7" t="str">
        <x:v>hardware</x:v>
      </x:c>
      <x:c r="B30" s="7" t="str">
        <x:v>Specialized sensing, AR/VR or physical prototype, including built-in LiDAR and dedicated cameras.</x:v>
      </x:c>
      <x:c r="C30" s="2"/>
      <x:c r="D30" s="2"/>
    </x:row>
    <x:row r="31" ht="34" customHeight="1">
      <x:c r="A31" s="7" t="str">
        <x:v>ai_ml</x:v>
      </x:c>
      <x:c r="B31" s="7" t="str">
        <x:v>Explicitly documented product AI/ML. Coding assistants or proposed future AI alone do not qualify.</x:v>
      </x:c>
      <x:c r="C31" s="2"/>
      <x:c r="D31" s="2"/>
    </x:row>
    <x:row r="32" ht="34" customHeight="1">
      <x:c r="A32" s="7" t="str">
        <x:v>accessibility_inclusion</x:v>
      </x:c>
      <x:c r="B32" s="7" t="str">
        <x:v>Explicit disability access or stated support for an underserved population; ordinary usability alone excluded.</x:v>
      </x:c>
      <x:c r="C32" s="2"/>
      <x:c r="D32" s="2"/>
    </x:row>
    <x:row r="33">
      <x:c r="A33" s="2"/>
      <x:c r="B33" s="2"/>
      <x:c r="C33" s="2"/>
      <x:c r="D33" s="2"/>
    </x:row>
    <x:row r="34">
      <x:c r="A34" s="2" t="str">
        <x:v>Data version</x:v>
      </x:c>
      <x:c r="B34" s="2" t="str">
        <x:v>1.0.0</x:v>
      </x:c>
      <x:c r="C34" s="2"/>
      <x:c r="D34" s="2"/>
    </x:row>
    <x:row r="35">
      <x:c r="A35" s="2"/>
      <x:c r="B35" s="2"/>
      <x:c r="C35" s="2"/>
      <x:c r="D35" s="2"/>
    </x:row>
  </x:sheetData>
  <x:pageMargins left="0.7" right="0.7" top="0.75" bottom="0.75" header="0.3" footer="0.3"/>
</x:worksheet>
</file>